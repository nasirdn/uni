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/>
  <xr:revisionPtr revIDLastSave="0" documentId="8_{579D776E-E9F2-42FC-9BD8-AAC6FF2C0303}" xr6:coauthVersionLast="47" xr6:coauthVersionMax="47" xr10:uidLastSave="{00000000-0000-0000-0000-000000000000}"/>
  <bookViews>
    <workbookView xWindow="360" yWindow="15" windowWidth="20955" windowHeight="9720" firstSheet="1" activeTab="2" xr2:uid="{00000000-000D-0000-FFFF-FFFF00000000}"/>
  </bookViews>
  <sheets>
    <sheet name="Данные" sheetId="2" r:id="rId1"/>
    <sheet name="Подсчеты (физ акт)" sheetId="3" r:id="rId2"/>
    <sheet name="Подсчеты (калории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4" l="1"/>
  <c r="F51" i="4"/>
  <c r="F46" i="3"/>
  <c r="F41" i="4"/>
  <c r="F46" i="4" s="1"/>
  <c r="C41" i="4"/>
  <c r="D41" i="4"/>
  <c r="E41" i="4"/>
  <c r="B4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E40" i="4"/>
  <c r="C40" i="4"/>
  <c r="D40" i="4"/>
  <c r="B40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2" i="4"/>
  <c r="F3" i="2"/>
  <c r="C3" i="3"/>
  <c r="E3" i="3" s="1"/>
  <c r="C4" i="3"/>
  <c r="E4" i="3" s="1"/>
  <c r="C5" i="3"/>
  <c r="E5" i="3" s="1"/>
  <c r="C6" i="3"/>
  <c r="E6" i="3" s="1"/>
  <c r="C7" i="3"/>
  <c r="E7" i="3" s="1"/>
  <c r="C8" i="3"/>
  <c r="E8" i="3" s="1"/>
  <c r="C9" i="3"/>
  <c r="E9" i="3" s="1"/>
  <c r="C10" i="3"/>
  <c r="E10" i="3" s="1"/>
  <c r="C11" i="3"/>
  <c r="E11" i="3" s="1"/>
  <c r="C12" i="3"/>
  <c r="E12" i="3" s="1"/>
  <c r="C13" i="3"/>
  <c r="E13" i="3" s="1"/>
  <c r="C14" i="3"/>
  <c r="E14" i="3" s="1"/>
  <c r="C15" i="3"/>
  <c r="E15" i="3" s="1"/>
  <c r="C16" i="3"/>
  <c r="E16" i="3" s="1"/>
  <c r="C17" i="3"/>
  <c r="E17" i="3" s="1"/>
  <c r="C18" i="3"/>
  <c r="E18" i="3" s="1"/>
  <c r="C19" i="3"/>
  <c r="E19" i="3" s="1"/>
  <c r="C20" i="3"/>
  <c r="E20" i="3" s="1"/>
  <c r="C21" i="3"/>
  <c r="E21" i="3" s="1"/>
  <c r="C22" i="3"/>
  <c r="E22" i="3" s="1"/>
  <c r="C23" i="3"/>
  <c r="E23" i="3" s="1"/>
  <c r="C24" i="3"/>
  <c r="E24" i="3" s="1"/>
  <c r="C25" i="3"/>
  <c r="E25" i="3" s="1"/>
  <c r="C26" i="3"/>
  <c r="E26" i="3" s="1"/>
  <c r="C27" i="3"/>
  <c r="E27" i="3" s="1"/>
  <c r="C28" i="3"/>
  <c r="E28" i="3" s="1"/>
  <c r="C29" i="3"/>
  <c r="E29" i="3" s="1"/>
  <c r="C30" i="3"/>
  <c r="E30" i="3" s="1"/>
  <c r="C31" i="3"/>
  <c r="E31" i="3" s="1"/>
  <c r="C32" i="3"/>
  <c r="E32" i="3" s="1"/>
  <c r="C33" i="3"/>
  <c r="E33" i="3" s="1"/>
  <c r="C34" i="3"/>
  <c r="E34" i="3" s="1"/>
  <c r="C35" i="3"/>
  <c r="E35" i="3" s="1"/>
  <c r="C36" i="3"/>
  <c r="E36" i="3" s="1"/>
  <c r="C37" i="3"/>
  <c r="E37" i="3" s="1"/>
  <c r="C38" i="3"/>
  <c r="E38" i="3" s="1"/>
  <c r="C39" i="3"/>
  <c r="E39" i="3" s="1"/>
  <c r="C2" i="3"/>
  <c r="B3" i="3"/>
  <c r="G51" i="3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2" i="3"/>
  <c r="C3" i="2"/>
  <c r="C4" i="2"/>
  <c r="F4" i="2" s="1"/>
  <c r="C5" i="2"/>
  <c r="F5" i="2" s="1"/>
  <c r="C6" i="2"/>
  <c r="F6" i="2" s="1"/>
  <c r="C7" i="2"/>
  <c r="F7" i="2" s="1"/>
  <c r="C8" i="2"/>
  <c r="F8" i="2" s="1"/>
  <c r="C9" i="2"/>
  <c r="F9" i="2" s="1"/>
  <c r="C10" i="2"/>
  <c r="F10" i="2" s="1"/>
  <c r="C11" i="2"/>
  <c r="F11" i="2" s="1"/>
  <c r="C12" i="2"/>
  <c r="F12" i="2" s="1"/>
  <c r="C13" i="2"/>
  <c r="F13" i="2" s="1"/>
  <c r="C14" i="2"/>
  <c r="F14" i="2" s="1"/>
  <c r="C15" i="2"/>
  <c r="F15" i="2" s="1"/>
  <c r="C16" i="2"/>
  <c r="F16" i="2" s="1"/>
  <c r="C17" i="2"/>
  <c r="F17" i="2" s="1"/>
  <c r="C18" i="2"/>
  <c r="F18" i="2" s="1"/>
  <c r="C19" i="2"/>
  <c r="F19" i="2" s="1"/>
  <c r="C20" i="2"/>
  <c r="F20" i="2" s="1"/>
  <c r="C21" i="2"/>
  <c r="F21" i="2" s="1"/>
  <c r="C22" i="2"/>
  <c r="F22" i="2" s="1"/>
  <c r="C23" i="2"/>
  <c r="F23" i="2" s="1"/>
  <c r="C24" i="2"/>
  <c r="F24" i="2" s="1"/>
  <c r="C25" i="2"/>
  <c r="F25" i="2" s="1"/>
  <c r="C26" i="2"/>
  <c r="F26" i="2" s="1"/>
  <c r="C27" i="2"/>
  <c r="F27" i="2" s="1"/>
  <c r="C28" i="2"/>
  <c r="F28" i="2" s="1"/>
  <c r="C29" i="2"/>
  <c r="F29" i="2" s="1"/>
  <c r="C30" i="2"/>
  <c r="F30" i="2" s="1"/>
  <c r="C31" i="2"/>
  <c r="F31" i="2" s="1"/>
  <c r="C32" i="2"/>
  <c r="F32" i="2" s="1"/>
  <c r="C33" i="2"/>
  <c r="F33" i="2" s="1"/>
  <c r="C34" i="2"/>
  <c r="F34" i="2" s="1"/>
  <c r="C35" i="2"/>
  <c r="F35" i="2" s="1"/>
  <c r="C36" i="2"/>
  <c r="F36" i="2" s="1"/>
  <c r="C37" i="2"/>
  <c r="F37" i="2" s="1"/>
  <c r="C38" i="2"/>
  <c r="F38" i="2" s="1"/>
  <c r="C39" i="2"/>
  <c r="F39" i="2" s="1"/>
  <c r="C2" i="2"/>
  <c r="F2" i="2" s="1"/>
  <c r="B40" i="3" l="1"/>
  <c r="B41" i="3" s="1"/>
  <c r="F2" i="3"/>
  <c r="D2" i="3"/>
  <c r="F39" i="3"/>
  <c r="D39" i="3"/>
  <c r="F38" i="3"/>
  <c r="D38" i="3"/>
  <c r="F37" i="3"/>
  <c r="D37" i="3"/>
  <c r="F36" i="3"/>
  <c r="D36" i="3"/>
  <c r="F35" i="3"/>
  <c r="D35" i="3"/>
  <c r="F34" i="3"/>
  <c r="D34" i="3"/>
  <c r="F33" i="3"/>
  <c r="D33" i="3"/>
  <c r="F32" i="3"/>
  <c r="D32" i="3"/>
  <c r="F31" i="3"/>
  <c r="D31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F3" i="3"/>
  <c r="D3" i="3"/>
  <c r="C40" i="3"/>
  <c r="C41" i="3" s="1"/>
  <c r="E2" i="3"/>
  <c r="E40" i="3" s="1"/>
  <c r="E41" i="3" s="1"/>
  <c r="D40" i="3" l="1"/>
  <c r="D41" i="3" s="1"/>
  <c r="F40" i="3"/>
  <c r="F41" i="3" s="1"/>
</calcChain>
</file>

<file path=xl/sharedStrings.xml><?xml version="1.0" encoding="utf-8"?>
<sst xmlns="http://schemas.openxmlformats.org/spreadsheetml/2006/main" count="45" uniqueCount="26">
  <si>
    <t>Студент</t>
  </si>
  <si>
    <t>Рост (см)</t>
  </si>
  <si>
    <t>Рост (м)</t>
  </si>
  <si>
    <t>Вес (кг)</t>
  </si>
  <si>
    <t>Физическая активность (мин/неделя)</t>
  </si>
  <si>
    <t>ИМТ (кг/м^2)</t>
  </si>
  <si>
    <t>Количество калорий (ккал/день)</t>
  </si>
  <si>
    <t xml:space="preserve"> i</t>
  </si>
  <si>
    <t>Xi (ИМТ)</t>
  </si>
  <si>
    <t>Yi (Актив)</t>
  </si>
  <si>
    <t>Xi^2</t>
  </si>
  <si>
    <t>Yi^2</t>
  </si>
  <si>
    <t>XiYi</t>
  </si>
  <si>
    <t>Гипотеза: Существует ли взаимосвязь между</t>
  </si>
  <si>
    <t>ИМТ и физической активностью</t>
  </si>
  <si>
    <t>Сумма</t>
  </si>
  <si>
    <t>Среднее</t>
  </si>
  <si>
    <t>Находим коэффициент корреляции</t>
  </si>
  <si>
    <t>rxy =</t>
  </si>
  <si>
    <t>Между ИМТ и физической активностью существует</t>
  </si>
  <si>
    <t>линейная отрицательная сильная связь</t>
  </si>
  <si>
    <t>Функция КОРРЕЛ</t>
  </si>
  <si>
    <t>i</t>
  </si>
  <si>
    <t>Yi (Калории)</t>
  </si>
  <si>
    <t>Между ИМТ и количеством ккал в день существует</t>
  </si>
  <si>
    <t>линейная положительная сильная связь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</si>
</sst>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0"/>
      <color theme="1"/>
      <name val="Liberation Sans"/>
    </font>
    <font>
      <sz val="11"/>
      <color rgb="FF000000"/>
      <name val="Noto Sans"/>
      <charset val="1"/>
    </font>
    <font>
      <sz val="10"/>
      <color rgb="FF000000"/>
      <name val="Liberation Sans"/>
    </font>
    <font>
      <b/>
      <sz val="10"/>
      <color theme="1"/>
      <name val="Liberation Sans"/>
    </font>
    <font>
      <sz val="12"/>
      <color rgb="FFFFFFFF"/>
      <name val="Manrope"/>
      <charset val="1"/>
    </font>
    <font>
      <sz val="12"/>
      <color rgb="FF000000"/>
      <name val="Manrope"/>
      <charset val="1"/>
    </font>
    <font>
      <b/>
      <sz val="11"/>
      <color rgb="FF000000"/>
      <name val="Consolas"/>
    </font>
    <font>
      <b/>
      <sz val="10"/>
      <color theme="1"/>
      <name val="Consolas"/>
    </font>
    <font>
      <sz val="11"/>
      <color rgb="FF000000"/>
      <name val="Consolas"/>
    </font>
    <font>
      <sz val="10"/>
      <color theme="1"/>
      <name val="Consolas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0" fontId="0" fillId="0" borderId="0" xfId="0"/>
    <xf numFmtId="164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Border="1"/>
    <xf numFmtId="0" fontId="5" fillId="0" borderId="0" xfId="0" applyFont="1" applyFill="1" applyBorder="1"/>
    <xf numFmtId="0" fontId="1" fillId="0" borderId="0" xfId="0" applyFont="1" applyBorder="1" applyAlignment="1">
      <alignment wrapText="1"/>
    </xf>
    <xf numFmtId="0" fontId="4" fillId="0" borderId="0" xfId="0" applyFont="1" applyFill="1" applyBorder="1"/>
    <xf numFmtId="0" fontId="0" fillId="0" borderId="0" xfId="0" applyFill="1" applyBorder="1"/>
    <xf numFmtId="0" fontId="6" fillId="0" borderId="0" xfId="0" applyFont="1" applyAlignment="1">
      <alignment wrapText="1"/>
    </xf>
    <xf numFmtId="0" fontId="6" fillId="0" borderId="0" xfId="0" applyFont="1" applyBorder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2" fontId="9" fillId="0" borderId="0" xfId="0" applyNumberFormat="1" applyFont="1"/>
    <xf numFmtId="0" fontId="8" fillId="0" borderId="0" xfId="0" applyFont="1" applyFill="1" applyBorder="1"/>
    <xf numFmtId="0" fontId="1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'Подсчеты (физ акт)'!$C$1</c:f>
              <c:strCache>
                <c:ptCount val="1"/>
                <c:pt idx="0">
                  <c:v>Yi (Актив)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'Подсчеты (физ акт)'!$B$2:$B$39</c:f>
              <c:numCache>
                <c:formatCode>0.00</c:formatCode>
                <c:ptCount val="38"/>
                <c:pt idx="0">
                  <c:v>20.761245674740486</c:v>
                </c:pt>
                <c:pt idx="1">
                  <c:v>21.224489795918366</c:v>
                </c:pt>
                <c:pt idx="2">
                  <c:v>21.604938271604937</c:v>
                </c:pt>
                <c:pt idx="3">
                  <c:v>20.202020202020204</c:v>
                </c:pt>
                <c:pt idx="4">
                  <c:v>22.985397512168742</c:v>
                </c:pt>
                <c:pt idx="5">
                  <c:v>23.671253629592222</c:v>
                </c:pt>
                <c:pt idx="6">
                  <c:v>21.707923392038097</c:v>
                </c:pt>
                <c:pt idx="7">
                  <c:v>23.243801652892564</c:v>
                </c:pt>
                <c:pt idx="8">
                  <c:v>24.151672503320853</c:v>
                </c:pt>
                <c:pt idx="9">
                  <c:v>20.796729893506402</c:v>
                </c:pt>
                <c:pt idx="10">
                  <c:v>22.052190183434128</c:v>
                </c:pt>
                <c:pt idx="11">
                  <c:v>23.095409007209515</c:v>
                </c:pt>
                <c:pt idx="12">
                  <c:v>20.077334919690664</c:v>
                </c:pt>
                <c:pt idx="13">
                  <c:v>22.913033070004449</c:v>
                </c:pt>
                <c:pt idx="14">
                  <c:v>23.301094832264035</c:v>
                </c:pt>
                <c:pt idx="15">
                  <c:v>21.612811791383223</c:v>
                </c:pt>
                <c:pt idx="16">
                  <c:v>23.120623596247853</c:v>
                </c:pt>
                <c:pt idx="17">
                  <c:v>23.808797045267237</c:v>
                </c:pt>
                <c:pt idx="18">
                  <c:v>20.685150239512268</c:v>
                </c:pt>
                <c:pt idx="19">
                  <c:v>23.323418063818284</c:v>
                </c:pt>
                <c:pt idx="20">
                  <c:v>23.98687034465345</c:v>
                </c:pt>
                <c:pt idx="21">
                  <c:v>22.058051188683873</c:v>
                </c:pt>
                <c:pt idx="22">
                  <c:v>20.897959183673468</c:v>
                </c:pt>
                <c:pt idx="23">
                  <c:v>21.913580246913579</c:v>
                </c:pt>
                <c:pt idx="24">
                  <c:v>20.569329660238754</c:v>
                </c:pt>
                <c:pt idx="25">
                  <c:v>21.718066089745729</c:v>
                </c:pt>
                <c:pt idx="26">
                  <c:v>24.031709372366656</c:v>
                </c:pt>
                <c:pt idx="27">
                  <c:v>19.705532421177875</c:v>
                </c:pt>
                <c:pt idx="28">
                  <c:v>23.255018638213471</c:v>
                </c:pt>
                <c:pt idx="29">
                  <c:v>23.620287912158062</c:v>
                </c:pt>
                <c:pt idx="30">
                  <c:v>21.258503401360546</c:v>
                </c:pt>
                <c:pt idx="31">
                  <c:v>23.450918219051392</c:v>
                </c:pt>
                <c:pt idx="32">
                  <c:v>24.114038033027075</c:v>
                </c:pt>
                <c:pt idx="33">
                  <c:v>21.048047612135289</c:v>
                </c:pt>
                <c:pt idx="34">
                  <c:v>22.309356408869661</c:v>
                </c:pt>
                <c:pt idx="35">
                  <c:v>23.671253629592222</c:v>
                </c:pt>
                <c:pt idx="36">
                  <c:v>21.707923392038097</c:v>
                </c:pt>
                <c:pt idx="37">
                  <c:v>21.224489795918366</c:v>
                </c:pt>
              </c:numCache>
            </c:numRef>
          </c:xVal>
          <c:yVal>
            <c:numRef>
              <c:f>'Подсчеты (физ акт)'!$C$2:$C$39</c:f>
              <c:numCache>
                <c:formatCode>General</c:formatCode>
                <c:ptCount val="38"/>
                <c:pt idx="0">
                  <c:v>300</c:v>
                </c:pt>
                <c:pt idx="1">
                  <c:v>280</c:v>
                </c:pt>
                <c:pt idx="2">
                  <c:v>260</c:v>
                </c:pt>
                <c:pt idx="3">
                  <c:v>320</c:v>
                </c:pt>
                <c:pt idx="4">
                  <c:v>290</c:v>
                </c:pt>
                <c:pt idx="5">
                  <c:v>250</c:v>
                </c:pt>
                <c:pt idx="6">
                  <c:v>310</c:v>
                </c:pt>
                <c:pt idx="7">
                  <c:v>270</c:v>
                </c:pt>
                <c:pt idx="8">
                  <c:v>240</c:v>
                </c:pt>
                <c:pt idx="9">
                  <c:v>330</c:v>
                </c:pt>
                <c:pt idx="10">
                  <c:v>300</c:v>
                </c:pt>
                <c:pt idx="11">
                  <c:v>260</c:v>
                </c:pt>
                <c:pt idx="12">
                  <c:v>340</c:v>
                </c:pt>
                <c:pt idx="13">
                  <c:v>280</c:v>
                </c:pt>
                <c:pt idx="14">
                  <c:v>250</c:v>
                </c:pt>
                <c:pt idx="15">
                  <c:v>320</c:v>
                </c:pt>
                <c:pt idx="16">
                  <c:v>290</c:v>
                </c:pt>
                <c:pt idx="17">
                  <c:v>240</c:v>
                </c:pt>
                <c:pt idx="18">
                  <c:v>330</c:v>
                </c:pt>
                <c:pt idx="19">
                  <c:v>310</c:v>
                </c:pt>
                <c:pt idx="20">
                  <c:v>270</c:v>
                </c:pt>
                <c:pt idx="21">
                  <c:v>300</c:v>
                </c:pt>
                <c:pt idx="22">
                  <c:v>280</c:v>
                </c:pt>
                <c:pt idx="23">
                  <c:v>260</c:v>
                </c:pt>
                <c:pt idx="24">
                  <c:v>340</c:v>
                </c:pt>
                <c:pt idx="25">
                  <c:v>290</c:v>
                </c:pt>
                <c:pt idx="26">
                  <c:v>250</c:v>
                </c:pt>
                <c:pt idx="27">
                  <c:v>350</c:v>
                </c:pt>
                <c:pt idx="28">
                  <c:v>280</c:v>
                </c:pt>
                <c:pt idx="29">
                  <c:v>240</c:v>
                </c:pt>
                <c:pt idx="30">
                  <c:v>320</c:v>
                </c:pt>
                <c:pt idx="31">
                  <c:v>290</c:v>
                </c:pt>
                <c:pt idx="32">
                  <c:v>230</c:v>
                </c:pt>
                <c:pt idx="33">
                  <c:v>330</c:v>
                </c:pt>
                <c:pt idx="34">
                  <c:v>310</c:v>
                </c:pt>
                <c:pt idx="35">
                  <c:v>260</c:v>
                </c:pt>
                <c:pt idx="36">
                  <c:v>300</c:v>
                </c:pt>
                <c:pt idx="37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E4-4231-A34D-E22B2F9C5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218759"/>
        <c:axId val="374256135"/>
      </c:scatterChart>
      <c:valAx>
        <c:axId val="374218759"/>
        <c:scaling>
          <c:orientation val="minMax"/>
          <c:min val="1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56135"/>
        <c:crosses val="autoZero"/>
        <c:crossBetween val="midCat"/>
      </c:valAx>
      <c:valAx>
        <c:axId val="374256135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18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3</xdr:col>
      <xdr:colOff>47625</xdr:colOff>
      <xdr:row>51</xdr:row>
      <xdr:rowOff>95250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A730919-34DB-DA29-B338-5CB013326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96150"/>
          <a:ext cx="2419350" cy="1066800"/>
        </a:xfrm>
        <a:prstGeom prst="rect">
          <a:avLst/>
        </a:prstGeom>
      </xdr:spPr>
    </xdr:pic>
    <xdr:clientData/>
  </xdr:twoCellAnchor>
  <xdr:twoCellAnchor>
    <xdr:from>
      <xdr:col>6</xdr:col>
      <xdr:colOff>552450</xdr:colOff>
      <xdr:row>5</xdr:row>
      <xdr:rowOff>133350</xdr:rowOff>
    </xdr:from>
    <xdr:to>
      <xdr:col>14</xdr:col>
      <xdr:colOff>247650</xdr:colOff>
      <xdr:row>22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0E439B7-FE3C-0112-ECAF-073CFC679444}"/>
            </a:ext>
            <a:ext uri="{147F2762-F138-4A5C-976F-8EAC2B608ADB}">
              <a16:predDERef xmlns:a16="http://schemas.microsoft.com/office/drawing/2014/main" pred="{7A730919-34DB-DA29-B338-5CB013326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3</xdr:col>
      <xdr:colOff>361950</xdr:colOff>
      <xdr:row>51</xdr:row>
      <xdr:rowOff>95250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AFB17A5-C76D-4FBD-B76A-C971B15AC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15200"/>
          <a:ext cx="24193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B0E4-524E-4572-86AD-9AF2C7E2B510}">
  <dimension ref="A1:L52"/>
  <sheetViews>
    <sheetView topLeftCell="D1" workbookViewId="0">
      <selection activeCell="G2" sqref="G2"/>
    </sheetView>
  </sheetViews>
  <sheetFormatPr defaultRowHeight="12.75"/>
  <cols>
    <col min="1" max="4" width="9.140625" style="5"/>
    <col min="5" max="5" width="16.140625" style="5" customWidth="1"/>
    <col min="6" max="6" width="14" customWidth="1"/>
    <col min="7" max="7" width="32" customWidth="1"/>
  </cols>
  <sheetData>
    <row r="1" spans="1:12" ht="66" customHeight="1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4" t="s">
        <v>5</v>
      </c>
      <c r="G1" s="6" t="s">
        <v>6</v>
      </c>
      <c r="H1" s="2"/>
      <c r="I1" s="2"/>
      <c r="J1" s="2"/>
      <c r="K1" s="2"/>
      <c r="L1" s="2"/>
    </row>
    <row r="2" spans="1:12" ht="15.75">
      <c r="A2" s="15">
        <v>1</v>
      </c>
      <c r="B2" s="15">
        <v>170</v>
      </c>
      <c r="C2" s="15">
        <f>B2/100</f>
        <v>1.7</v>
      </c>
      <c r="D2" s="17">
        <v>60</v>
      </c>
      <c r="E2" s="15">
        <v>300</v>
      </c>
      <c r="F2" s="16">
        <f>D2/(C2*C2)</f>
        <v>20.761245674740486</v>
      </c>
      <c r="G2" s="2">
        <v>2250</v>
      </c>
      <c r="H2" s="2"/>
      <c r="I2" s="10"/>
      <c r="J2" s="10"/>
      <c r="K2" s="10"/>
      <c r="L2" s="2"/>
    </row>
    <row r="3" spans="1:12" ht="15.75">
      <c r="A3" s="15">
        <v>2</v>
      </c>
      <c r="B3" s="15">
        <v>175</v>
      </c>
      <c r="C3" s="15">
        <f t="shared" ref="C3:C52" si="0">B3/100</f>
        <v>1.75</v>
      </c>
      <c r="D3" s="17">
        <v>65</v>
      </c>
      <c r="E3" s="15">
        <v>280</v>
      </c>
      <c r="F3" s="16">
        <f>D3/(C3*C3)</f>
        <v>21.224489795918366</v>
      </c>
      <c r="G3" s="2">
        <v>2300</v>
      </c>
      <c r="H3" s="2"/>
      <c r="I3" s="10"/>
      <c r="J3" s="10"/>
      <c r="K3" s="10"/>
      <c r="L3" s="2"/>
    </row>
    <row r="4" spans="1:12" ht="15.75">
      <c r="A4" s="15">
        <v>3</v>
      </c>
      <c r="B4" s="15">
        <v>180</v>
      </c>
      <c r="C4" s="15">
        <f t="shared" si="0"/>
        <v>1.8</v>
      </c>
      <c r="D4" s="17">
        <v>70</v>
      </c>
      <c r="E4" s="15">
        <v>260</v>
      </c>
      <c r="F4" s="16">
        <f t="shared" ref="F3:F52" si="1">D4/(C4*C4)</f>
        <v>21.604938271604937</v>
      </c>
      <c r="G4" s="2">
        <v>2300</v>
      </c>
      <c r="H4" s="2"/>
      <c r="I4" s="10"/>
      <c r="J4" s="10"/>
      <c r="K4" s="10"/>
      <c r="L4" s="2"/>
    </row>
    <row r="5" spans="1:12" ht="15.75">
      <c r="A5" s="15">
        <v>4</v>
      </c>
      <c r="B5" s="15">
        <v>165</v>
      </c>
      <c r="C5" s="15">
        <f t="shared" si="0"/>
        <v>1.65</v>
      </c>
      <c r="D5" s="17">
        <v>55</v>
      </c>
      <c r="E5" s="15">
        <v>320</v>
      </c>
      <c r="F5" s="16">
        <f t="shared" si="1"/>
        <v>20.202020202020204</v>
      </c>
      <c r="G5" s="2">
        <v>2150</v>
      </c>
      <c r="H5" s="2"/>
      <c r="I5" s="10"/>
      <c r="J5" s="10"/>
      <c r="K5" s="10"/>
      <c r="L5" s="2"/>
    </row>
    <row r="6" spans="1:12" ht="15.75">
      <c r="A6" s="15">
        <v>5</v>
      </c>
      <c r="B6" s="15">
        <v>172</v>
      </c>
      <c r="C6" s="15">
        <f t="shared" si="0"/>
        <v>1.72</v>
      </c>
      <c r="D6" s="17">
        <v>68</v>
      </c>
      <c r="E6" s="15">
        <v>290</v>
      </c>
      <c r="F6" s="16">
        <f t="shared" si="1"/>
        <v>22.985397512168742</v>
      </c>
      <c r="G6" s="2">
        <v>2350</v>
      </c>
      <c r="H6" s="2"/>
      <c r="I6" s="10"/>
      <c r="J6" s="10"/>
      <c r="K6" s="10"/>
      <c r="L6" s="2"/>
    </row>
    <row r="7" spans="1:12" ht="15.75">
      <c r="A7" s="15">
        <v>6</v>
      </c>
      <c r="B7" s="15">
        <v>178</v>
      </c>
      <c r="C7" s="15">
        <f t="shared" si="0"/>
        <v>1.78</v>
      </c>
      <c r="D7" s="17">
        <v>75</v>
      </c>
      <c r="E7" s="15">
        <v>250</v>
      </c>
      <c r="F7" s="16">
        <f t="shared" si="1"/>
        <v>23.671253629592222</v>
      </c>
      <c r="G7" s="2">
        <v>2400</v>
      </c>
      <c r="H7" s="2"/>
      <c r="I7" s="10"/>
      <c r="J7" s="10"/>
      <c r="K7" s="10"/>
      <c r="L7" s="2"/>
    </row>
    <row r="8" spans="1:12" ht="15.75">
      <c r="A8" s="15">
        <v>7</v>
      </c>
      <c r="B8" s="15">
        <v>169</v>
      </c>
      <c r="C8" s="15">
        <f t="shared" si="0"/>
        <v>1.69</v>
      </c>
      <c r="D8" s="17">
        <v>62</v>
      </c>
      <c r="E8" s="15">
        <v>310</v>
      </c>
      <c r="F8" s="16">
        <f t="shared" si="1"/>
        <v>21.707923392038097</v>
      </c>
      <c r="G8" s="2">
        <v>2300</v>
      </c>
      <c r="H8" s="2"/>
      <c r="I8" s="10"/>
      <c r="J8" s="10"/>
      <c r="K8" s="10"/>
      <c r="L8" s="2"/>
    </row>
    <row r="9" spans="1:12" ht="15.75">
      <c r="A9" s="15">
        <v>8</v>
      </c>
      <c r="B9" s="15">
        <v>176</v>
      </c>
      <c r="C9" s="15">
        <f t="shared" si="0"/>
        <v>1.76</v>
      </c>
      <c r="D9" s="17">
        <v>72</v>
      </c>
      <c r="E9" s="15">
        <v>270</v>
      </c>
      <c r="F9" s="16">
        <f t="shared" si="1"/>
        <v>23.243801652892564</v>
      </c>
      <c r="G9" s="2">
        <v>2350</v>
      </c>
      <c r="H9" s="2"/>
      <c r="I9" s="10"/>
      <c r="J9" s="10"/>
      <c r="K9" s="10"/>
      <c r="L9" s="2"/>
    </row>
    <row r="10" spans="1:12" ht="15.75">
      <c r="A10" s="15">
        <v>9</v>
      </c>
      <c r="B10" s="15">
        <v>182</v>
      </c>
      <c r="C10" s="15">
        <f t="shared" si="0"/>
        <v>1.82</v>
      </c>
      <c r="D10" s="17">
        <v>80</v>
      </c>
      <c r="E10" s="15">
        <v>240</v>
      </c>
      <c r="F10" s="16">
        <f t="shared" si="1"/>
        <v>24.151672503320853</v>
      </c>
      <c r="G10" s="2">
        <v>2600</v>
      </c>
      <c r="H10" s="2"/>
      <c r="I10" s="10"/>
      <c r="J10" s="10"/>
      <c r="K10" s="10"/>
      <c r="L10" s="2"/>
    </row>
    <row r="11" spans="1:12" ht="15.75">
      <c r="A11" s="15">
        <v>10</v>
      </c>
      <c r="B11" s="15">
        <v>167</v>
      </c>
      <c r="C11" s="15">
        <f t="shared" si="0"/>
        <v>1.67</v>
      </c>
      <c r="D11" s="17">
        <v>58</v>
      </c>
      <c r="E11" s="15">
        <v>330</v>
      </c>
      <c r="F11" s="16">
        <f t="shared" si="1"/>
        <v>20.796729893506402</v>
      </c>
      <c r="G11" s="2">
        <v>2200</v>
      </c>
      <c r="H11" s="2"/>
      <c r="I11" s="10"/>
      <c r="J11" s="10"/>
      <c r="K11" s="10"/>
      <c r="L11" s="2"/>
    </row>
    <row r="12" spans="1:12" ht="15.75">
      <c r="A12" s="15">
        <v>11</v>
      </c>
      <c r="B12" s="15">
        <v>173</v>
      </c>
      <c r="C12" s="15">
        <f t="shared" si="0"/>
        <v>1.73</v>
      </c>
      <c r="D12" s="17">
        <v>66</v>
      </c>
      <c r="E12" s="15">
        <v>300</v>
      </c>
      <c r="F12" s="16">
        <f t="shared" si="1"/>
        <v>22.052190183434128</v>
      </c>
      <c r="G12" s="2">
        <v>2300</v>
      </c>
      <c r="H12" s="2"/>
      <c r="I12" s="10"/>
      <c r="J12" s="10"/>
      <c r="K12" s="10"/>
      <c r="L12" s="2"/>
    </row>
    <row r="13" spans="1:12" ht="15.75">
      <c r="A13" s="15">
        <v>12</v>
      </c>
      <c r="B13" s="15">
        <v>179</v>
      </c>
      <c r="C13" s="15">
        <f t="shared" si="0"/>
        <v>1.79</v>
      </c>
      <c r="D13" s="17">
        <v>74</v>
      </c>
      <c r="E13" s="15">
        <v>260</v>
      </c>
      <c r="F13" s="16">
        <f t="shared" si="1"/>
        <v>23.095409007209515</v>
      </c>
      <c r="G13" s="2">
        <v>2400</v>
      </c>
      <c r="H13" s="2"/>
      <c r="I13" s="10"/>
      <c r="J13" s="10"/>
      <c r="K13" s="10"/>
      <c r="L13" s="2"/>
    </row>
    <row r="14" spans="1:12" ht="15.75">
      <c r="A14" s="15">
        <v>13</v>
      </c>
      <c r="B14" s="15">
        <v>164</v>
      </c>
      <c r="C14" s="15">
        <f t="shared" si="0"/>
        <v>1.64</v>
      </c>
      <c r="D14" s="17">
        <v>54</v>
      </c>
      <c r="E14" s="15">
        <v>340</v>
      </c>
      <c r="F14" s="16">
        <f t="shared" si="1"/>
        <v>20.077334919690664</v>
      </c>
      <c r="G14" s="2">
        <v>2000</v>
      </c>
      <c r="H14" s="2"/>
      <c r="I14" s="10"/>
      <c r="J14" s="10"/>
      <c r="K14" s="10"/>
      <c r="L14" s="2"/>
    </row>
    <row r="15" spans="1:12" ht="15.75">
      <c r="A15" s="15">
        <v>14</v>
      </c>
      <c r="B15" s="15">
        <v>171</v>
      </c>
      <c r="C15" s="15">
        <f t="shared" si="0"/>
        <v>1.71</v>
      </c>
      <c r="D15" s="17">
        <v>67</v>
      </c>
      <c r="E15" s="15">
        <v>280</v>
      </c>
      <c r="F15" s="16">
        <f t="shared" si="1"/>
        <v>22.913033070004449</v>
      </c>
      <c r="G15" s="2">
        <v>2400</v>
      </c>
      <c r="H15" s="2"/>
      <c r="I15" s="10"/>
      <c r="J15" s="10"/>
      <c r="K15" s="10"/>
      <c r="L15" s="2"/>
    </row>
    <row r="16" spans="1:12" ht="15.75">
      <c r="A16" s="15">
        <v>15</v>
      </c>
      <c r="B16" s="15">
        <v>177</v>
      </c>
      <c r="C16" s="15">
        <f t="shared" si="0"/>
        <v>1.77</v>
      </c>
      <c r="D16" s="17">
        <v>73</v>
      </c>
      <c r="E16" s="15">
        <v>250</v>
      </c>
      <c r="F16" s="16">
        <f t="shared" si="1"/>
        <v>23.301094832264035</v>
      </c>
      <c r="G16" s="2">
        <v>2400</v>
      </c>
      <c r="H16" s="2"/>
      <c r="I16" s="10"/>
      <c r="J16" s="10"/>
      <c r="K16" s="10"/>
      <c r="L16" s="2"/>
    </row>
    <row r="17" spans="1:12" ht="15.75">
      <c r="A17" s="15">
        <v>16</v>
      </c>
      <c r="B17" s="15">
        <v>168</v>
      </c>
      <c r="C17" s="15">
        <f t="shared" si="0"/>
        <v>1.68</v>
      </c>
      <c r="D17" s="17">
        <v>61</v>
      </c>
      <c r="E17" s="15">
        <v>320</v>
      </c>
      <c r="F17" s="16">
        <f t="shared" si="1"/>
        <v>21.612811791383223</v>
      </c>
      <c r="G17" s="2">
        <v>2300</v>
      </c>
      <c r="H17" s="2"/>
      <c r="I17" s="10"/>
      <c r="J17" s="10"/>
      <c r="K17" s="10"/>
      <c r="L17" s="2"/>
    </row>
    <row r="18" spans="1:12" ht="15.75">
      <c r="A18" s="15">
        <v>17</v>
      </c>
      <c r="B18" s="15">
        <v>174</v>
      </c>
      <c r="C18" s="15">
        <f t="shared" si="0"/>
        <v>1.74</v>
      </c>
      <c r="D18" s="17">
        <v>70</v>
      </c>
      <c r="E18" s="15">
        <v>290</v>
      </c>
      <c r="F18" s="16">
        <f t="shared" si="1"/>
        <v>23.120623596247853</v>
      </c>
      <c r="G18" s="2">
        <v>2400</v>
      </c>
      <c r="H18" s="2"/>
      <c r="I18" s="10"/>
      <c r="J18" s="10"/>
      <c r="K18" s="10"/>
      <c r="L18" s="2"/>
    </row>
    <row r="19" spans="1:12" ht="15.75">
      <c r="A19" s="15">
        <v>18</v>
      </c>
      <c r="B19" s="15">
        <v>181</v>
      </c>
      <c r="C19" s="15">
        <f t="shared" si="0"/>
        <v>1.81</v>
      </c>
      <c r="D19" s="17">
        <v>78</v>
      </c>
      <c r="E19" s="15">
        <v>240</v>
      </c>
      <c r="F19" s="16">
        <f t="shared" si="1"/>
        <v>23.808797045267237</v>
      </c>
      <c r="G19" s="2">
        <v>2450</v>
      </c>
      <c r="H19" s="2"/>
      <c r="I19" s="10"/>
      <c r="J19" s="10"/>
      <c r="K19" s="10"/>
      <c r="L19" s="2"/>
    </row>
    <row r="20" spans="1:12" ht="15.75">
      <c r="A20" s="15">
        <v>19</v>
      </c>
      <c r="B20" s="15">
        <v>166</v>
      </c>
      <c r="C20" s="15">
        <f t="shared" si="0"/>
        <v>1.66</v>
      </c>
      <c r="D20" s="17">
        <v>57</v>
      </c>
      <c r="E20" s="15">
        <v>330</v>
      </c>
      <c r="F20" s="16">
        <f t="shared" si="1"/>
        <v>20.685150239512268</v>
      </c>
      <c r="G20" s="2">
        <v>2150</v>
      </c>
      <c r="H20" s="2"/>
      <c r="I20" s="10"/>
      <c r="J20" s="10"/>
      <c r="K20" s="10"/>
      <c r="L20" s="2"/>
    </row>
    <row r="21" spans="1:12" ht="15.75">
      <c r="A21" s="15">
        <v>20</v>
      </c>
      <c r="B21" s="15">
        <v>172</v>
      </c>
      <c r="C21" s="15">
        <f t="shared" si="0"/>
        <v>1.72</v>
      </c>
      <c r="D21" s="17">
        <v>69</v>
      </c>
      <c r="E21" s="15">
        <v>310</v>
      </c>
      <c r="F21" s="16">
        <f t="shared" si="1"/>
        <v>23.323418063818284</v>
      </c>
      <c r="G21" s="2">
        <v>2400</v>
      </c>
      <c r="H21" s="2"/>
      <c r="I21" s="10"/>
      <c r="J21" s="10"/>
      <c r="K21" s="10"/>
      <c r="L21" s="2"/>
    </row>
    <row r="22" spans="1:12" ht="15.75">
      <c r="A22" s="15">
        <v>21</v>
      </c>
      <c r="B22" s="15">
        <v>178</v>
      </c>
      <c r="C22" s="15">
        <f t="shared" si="0"/>
        <v>1.78</v>
      </c>
      <c r="D22" s="17">
        <v>76</v>
      </c>
      <c r="E22" s="15">
        <v>270</v>
      </c>
      <c r="F22" s="16">
        <f t="shared" si="1"/>
        <v>23.98687034465345</v>
      </c>
      <c r="G22" s="2">
        <v>2500</v>
      </c>
      <c r="H22" s="2"/>
      <c r="I22" s="10"/>
      <c r="J22" s="10"/>
      <c r="K22" s="10"/>
      <c r="L22" s="2"/>
    </row>
    <row r="23" spans="1:12" ht="15.75">
      <c r="A23" s="15">
        <v>22</v>
      </c>
      <c r="B23" s="15">
        <v>169</v>
      </c>
      <c r="C23" s="15">
        <f t="shared" si="0"/>
        <v>1.69</v>
      </c>
      <c r="D23" s="17">
        <v>63</v>
      </c>
      <c r="E23" s="15">
        <v>300</v>
      </c>
      <c r="F23" s="16">
        <f t="shared" si="1"/>
        <v>22.058051188683873</v>
      </c>
      <c r="G23" s="2">
        <v>2200</v>
      </c>
      <c r="H23" s="2"/>
      <c r="I23" s="10"/>
      <c r="J23" s="10"/>
      <c r="K23" s="10"/>
      <c r="L23" s="2"/>
    </row>
    <row r="24" spans="1:12" ht="15.75">
      <c r="A24" s="15">
        <v>23</v>
      </c>
      <c r="B24" s="15">
        <v>175</v>
      </c>
      <c r="C24" s="15">
        <f t="shared" si="0"/>
        <v>1.75</v>
      </c>
      <c r="D24" s="17">
        <v>64</v>
      </c>
      <c r="E24" s="15">
        <v>280</v>
      </c>
      <c r="F24" s="16">
        <f t="shared" si="1"/>
        <v>20.897959183673468</v>
      </c>
      <c r="G24" s="2">
        <v>2200</v>
      </c>
      <c r="H24" s="2"/>
      <c r="I24" s="10"/>
      <c r="J24" s="10"/>
      <c r="K24" s="10"/>
      <c r="L24" s="2"/>
    </row>
    <row r="25" spans="1:12" ht="15.75">
      <c r="A25" s="15">
        <v>24</v>
      </c>
      <c r="B25" s="15">
        <v>180</v>
      </c>
      <c r="C25" s="15">
        <f t="shared" si="0"/>
        <v>1.8</v>
      </c>
      <c r="D25" s="17">
        <v>71</v>
      </c>
      <c r="E25" s="15">
        <v>260</v>
      </c>
      <c r="F25" s="16">
        <f t="shared" si="1"/>
        <v>21.913580246913579</v>
      </c>
      <c r="G25" s="2">
        <v>2350</v>
      </c>
      <c r="H25" s="2"/>
      <c r="I25" s="10"/>
      <c r="J25" s="10"/>
      <c r="K25" s="10"/>
      <c r="L25" s="2"/>
    </row>
    <row r="26" spans="1:12" ht="15.75">
      <c r="A26" s="15">
        <v>25</v>
      </c>
      <c r="B26" s="15">
        <v>165</v>
      </c>
      <c r="C26" s="15">
        <f t="shared" si="0"/>
        <v>1.65</v>
      </c>
      <c r="D26" s="17">
        <v>56</v>
      </c>
      <c r="E26" s="15">
        <v>340</v>
      </c>
      <c r="F26" s="16">
        <f t="shared" si="1"/>
        <v>20.569329660238754</v>
      </c>
      <c r="G26" s="2">
        <v>2200</v>
      </c>
      <c r="H26" s="2"/>
      <c r="I26" s="10"/>
      <c r="J26" s="10"/>
      <c r="K26" s="10"/>
      <c r="L26" s="2"/>
    </row>
    <row r="27" spans="1:12" ht="15.75">
      <c r="A27" s="15">
        <v>26</v>
      </c>
      <c r="B27" s="15">
        <v>173</v>
      </c>
      <c r="C27" s="15">
        <f t="shared" si="0"/>
        <v>1.73</v>
      </c>
      <c r="D27" s="17">
        <v>65</v>
      </c>
      <c r="E27" s="15">
        <v>290</v>
      </c>
      <c r="F27" s="16">
        <f t="shared" si="1"/>
        <v>21.718066089745729</v>
      </c>
      <c r="G27" s="2">
        <v>2300</v>
      </c>
      <c r="H27" s="2"/>
      <c r="I27" s="10"/>
      <c r="J27" s="10"/>
      <c r="K27" s="10"/>
      <c r="L27" s="2"/>
    </row>
    <row r="28" spans="1:12" ht="15.75">
      <c r="A28" s="15">
        <v>27</v>
      </c>
      <c r="B28" s="15">
        <v>179</v>
      </c>
      <c r="C28" s="15">
        <f t="shared" si="0"/>
        <v>1.79</v>
      </c>
      <c r="D28" s="17">
        <v>77</v>
      </c>
      <c r="E28" s="15">
        <v>250</v>
      </c>
      <c r="F28" s="16">
        <f t="shared" si="1"/>
        <v>24.031709372366656</v>
      </c>
      <c r="G28" s="2">
        <v>2500</v>
      </c>
      <c r="H28" s="2"/>
      <c r="I28" s="10"/>
      <c r="J28" s="10"/>
      <c r="K28" s="10"/>
      <c r="L28" s="2"/>
    </row>
    <row r="29" spans="1:12" ht="15.75">
      <c r="A29" s="15">
        <v>28</v>
      </c>
      <c r="B29" s="15">
        <v>164</v>
      </c>
      <c r="C29" s="15">
        <f t="shared" si="0"/>
        <v>1.64</v>
      </c>
      <c r="D29" s="17">
        <v>53</v>
      </c>
      <c r="E29" s="15">
        <v>350</v>
      </c>
      <c r="F29" s="16">
        <f t="shared" si="1"/>
        <v>19.705532421177875</v>
      </c>
      <c r="G29" s="2">
        <v>1950</v>
      </c>
      <c r="H29" s="2"/>
      <c r="I29" s="10"/>
      <c r="J29" s="10"/>
      <c r="K29" s="10"/>
      <c r="L29" s="2"/>
    </row>
    <row r="30" spans="1:12" ht="15.75">
      <c r="A30" s="15">
        <v>29</v>
      </c>
      <c r="B30" s="15">
        <v>171</v>
      </c>
      <c r="C30" s="15">
        <f t="shared" si="0"/>
        <v>1.71</v>
      </c>
      <c r="D30" s="17">
        <v>68</v>
      </c>
      <c r="E30" s="15">
        <v>280</v>
      </c>
      <c r="F30" s="16">
        <f t="shared" si="1"/>
        <v>23.255018638213471</v>
      </c>
      <c r="G30" s="2">
        <v>2400</v>
      </c>
      <c r="H30" s="2"/>
      <c r="I30" s="10"/>
      <c r="J30" s="10"/>
      <c r="K30" s="10"/>
      <c r="L30" s="2"/>
    </row>
    <row r="31" spans="1:12" ht="15.75">
      <c r="A31" s="15">
        <v>30</v>
      </c>
      <c r="B31" s="15">
        <v>177</v>
      </c>
      <c r="C31" s="15">
        <f t="shared" si="0"/>
        <v>1.77</v>
      </c>
      <c r="D31" s="17">
        <v>74</v>
      </c>
      <c r="E31" s="15">
        <v>240</v>
      </c>
      <c r="F31" s="16">
        <f t="shared" si="1"/>
        <v>23.620287912158062</v>
      </c>
      <c r="G31" s="2">
        <v>2450</v>
      </c>
      <c r="H31" s="2"/>
      <c r="I31" s="10"/>
      <c r="J31" s="10"/>
      <c r="K31" s="10"/>
      <c r="L31" s="2"/>
    </row>
    <row r="32" spans="1:12" ht="15.75">
      <c r="A32" s="15">
        <v>31</v>
      </c>
      <c r="B32" s="15">
        <v>168</v>
      </c>
      <c r="C32" s="15">
        <f t="shared" si="0"/>
        <v>1.68</v>
      </c>
      <c r="D32" s="17">
        <v>60</v>
      </c>
      <c r="E32" s="15">
        <v>320</v>
      </c>
      <c r="F32" s="16">
        <f t="shared" si="1"/>
        <v>21.258503401360546</v>
      </c>
      <c r="G32" s="2">
        <v>2300</v>
      </c>
      <c r="H32" s="2"/>
      <c r="I32" s="10"/>
      <c r="J32" s="10"/>
      <c r="K32" s="10"/>
      <c r="L32" s="2"/>
    </row>
    <row r="33" spans="1:12" ht="15.75">
      <c r="A33" s="15">
        <v>32</v>
      </c>
      <c r="B33" s="15">
        <v>174</v>
      </c>
      <c r="C33" s="15">
        <f t="shared" si="0"/>
        <v>1.74</v>
      </c>
      <c r="D33" s="17">
        <v>71</v>
      </c>
      <c r="E33" s="15">
        <v>290</v>
      </c>
      <c r="F33" s="16">
        <f t="shared" si="1"/>
        <v>23.450918219051392</v>
      </c>
      <c r="G33" s="2">
        <v>2450</v>
      </c>
      <c r="H33" s="2"/>
      <c r="I33" s="10"/>
      <c r="J33" s="10"/>
      <c r="K33" s="10"/>
      <c r="L33" s="2"/>
    </row>
    <row r="34" spans="1:12" ht="15.75">
      <c r="A34" s="15">
        <v>33</v>
      </c>
      <c r="B34" s="15">
        <v>181</v>
      </c>
      <c r="C34" s="15">
        <f t="shared" si="0"/>
        <v>1.81</v>
      </c>
      <c r="D34" s="17">
        <v>79</v>
      </c>
      <c r="E34" s="15">
        <v>230</v>
      </c>
      <c r="F34" s="16">
        <f t="shared" si="1"/>
        <v>24.114038033027075</v>
      </c>
      <c r="G34" s="2">
        <v>2550</v>
      </c>
      <c r="H34" s="2"/>
      <c r="I34" s="10"/>
      <c r="J34" s="10"/>
      <c r="K34" s="10"/>
      <c r="L34" s="2"/>
    </row>
    <row r="35" spans="1:12" ht="15.75">
      <c r="A35" s="15">
        <v>34</v>
      </c>
      <c r="B35" s="15">
        <v>166</v>
      </c>
      <c r="C35" s="15">
        <f t="shared" si="0"/>
        <v>1.66</v>
      </c>
      <c r="D35" s="17">
        <v>58</v>
      </c>
      <c r="E35" s="15">
        <v>330</v>
      </c>
      <c r="F35" s="16">
        <f t="shared" si="1"/>
        <v>21.048047612135289</v>
      </c>
      <c r="G35" s="2">
        <v>2200</v>
      </c>
      <c r="H35" s="2"/>
      <c r="I35" s="10"/>
      <c r="J35" s="10"/>
      <c r="K35" s="10"/>
      <c r="L35" s="2"/>
    </row>
    <row r="36" spans="1:12" ht="15.75">
      <c r="A36" s="15">
        <v>35</v>
      </c>
      <c r="B36" s="15">
        <v>172</v>
      </c>
      <c r="C36" s="15">
        <f t="shared" si="0"/>
        <v>1.72</v>
      </c>
      <c r="D36" s="17">
        <v>66</v>
      </c>
      <c r="E36" s="15">
        <v>310</v>
      </c>
      <c r="F36" s="16">
        <f t="shared" si="1"/>
        <v>22.309356408869661</v>
      </c>
      <c r="G36" s="2">
        <v>2150</v>
      </c>
      <c r="H36" s="2"/>
      <c r="I36" s="10"/>
      <c r="J36" s="10"/>
      <c r="K36" s="10"/>
      <c r="L36" s="2"/>
    </row>
    <row r="37" spans="1:12" ht="15.75">
      <c r="A37" s="15">
        <v>36</v>
      </c>
      <c r="B37" s="15">
        <v>178</v>
      </c>
      <c r="C37" s="15">
        <f t="shared" si="0"/>
        <v>1.78</v>
      </c>
      <c r="D37" s="17">
        <v>75</v>
      </c>
      <c r="E37" s="15">
        <v>260</v>
      </c>
      <c r="F37" s="16">
        <f t="shared" si="1"/>
        <v>23.671253629592222</v>
      </c>
      <c r="G37" s="2">
        <v>2450</v>
      </c>
      <c r="H37" s="2"/>
      <c r="I37" s="10"/>
      <c r="J37" s="10"/>
      <c r="K37" s="10"/>
      <c r="L37" s="2"/>
    </row>
    <row r="38" spans="1:12" ht="15.75">
      <c r="A38" s="15">
        <v>37</v>
      </c>
      <c r="B38" s="15">
        <v>169</v>
      </c>
      <c r="C38" s="15">
        <f t="shared" si="0"/>
        <v>1.69</v>
      </c>
      <c r="D38" s="17">
        <v>62</v>
      </c>
      <c r="E38" s="15">
        <v>300</v>
      </c>
      <c r="F38" s="16">
        <f t="shared" si="1"/>
        <v>21.707923392038097</v>
      </c>
      <c r="G38" s="2">
        <v>2250</v>
      </c>
      <c r="H38" s="2"/>
      <c r="I38" s="10"/>
      <c r="J38" s="10"/>
      <c r="K38" s="10"/>
      <c r="L38" s="2"/>
    </row>
    <row r="39" spans="1:12" ht="15.75">
      <c r="A39" s="15">
        <v>38</v>
      </c>
      <c r="B39" s="15">
        <v>175</v>
      </c>
      <c r="C39" s="15">
        <f t="shared" si="0"/>
        <v>1.75</v>
      </c>
      <c r="D39" s="17">
        <v>65</v>
      </c>
      <c r="E39" s="15">
        <v>280</v>
      </c>
      <c r="F39" s="16">
        <f t="shared" si="1"/>
        <v>21.224489795918366</v>
      </c>
      <c r="G39" s="2">
        <v>2200</v>
      </c>
      <c r="H39" s="2"/>
      <c r="I39" s="10"/>
      <c r="J39" s="10"/>
      <c r="K39" s="10"/>
      <c r="L39" s="2"/>
    </row>
    <row r="40" spans="1:12" s="2" customFormat="1" ht="16.5">
      <c r="A40" s="4"/>
      <c r="B40" s="4"/>
      <c r="C40" s="4"/>
      <c r="D40" s="8"/>
      <c r="E40" s="4"/>
      <c r="F40" s="1"/>
      <c r="I40" s="10"/>
      <c r="J40" s="10"/>
      <c r="K40" s="10"/>
    </row>
    <row r="41" spans="1:12" ht="16.5">
      <c r="A41" s="4"/>
      <c r="B41" s="4"/>
      <c r="C41" s="4"/>
      <c r="D41" s="8"/>
      <c r="E41" s="4"/>
      <c r="F41" s="1"/>
      <c r="G41" s="2"/>
      <c r="H41" s="7"/>
      <c r="I41" s="10"/>
      <c r="J41" s="10"/>
      <c r="K41" s="11"/>
      <c r="L41" s="2"/>
    </row>
    <row r="42" spans="1:12" ht="16.5">
      <c r="A42" s="4"/>
      <c r="B42" s="4"/>
      <c r="C42" s="4"/>
      <c r="D42" s="9"/>
      <c r="E42" s="4"/>
      <c r="F42" s="1"/>
      <c r="G42" s="2"/>
      <c r="H42" s="2"/>
      <c r="I42" s="2"/>
      <c r="J42" s="2"/>
      <c r="K42" s="2"/>
      <c r="L42" s="2"/>
    </row>
    <row r="43" spans="1:12" ht="16.5">
      <c r="A43" s="4"/>
      <c r="B43" s="4"/>
      <c r="C43" s="4"/>
      <c r="D43" s="9"/>
      <c r="E43" s="4"/>
      <c r="F43" s="1"/>
      <c r="G43" s="2"/>
      <c r="H43" s="2"/>
      <c r="I43" s="2"/>
      <c r="J43" s="2"/>
      <c r="K43" s="2"/>
      <c r="L43" s="2"/>
    </row>
    <row r="44" spans="1:12" ht="16.5">
      <c r="A44" s="4"/>
      <c r="B44" s="4"/>
      <c r="C44" s="4"/>
      <c r="D44" s="9"/>
      <c r="E44" s="4"/>
      <c r="F44" s="1"/>
      <c r="G44" s="2"/>
      <c r="H44" s="2"/>
      <c r="I44" s="2"/>
      <c r="J44" s="2"/>
      <c r="K44" s="2"/>
      <c r="L44" s="2"/>
    </row>
    <row r="45" spans="1:12" ht="16.5">
      <c r="A45" s="4"/>
      <c r="B45" s="4"/>
      <c r="C45" s="4"/>
      <c r="D45" s="9"/>
      <c r="E45" s="4"/>
      <c r="F45" s="1"/>
      <c r="G45" s="2"/>
      <c r="H45" s="2"/>
      <c r="I45" s="2"/>
      <c r="J45" s="2"/>
      <c r="K45" s="2"/>
      <c r="L45" s="2"/>
    </row>
    <row r="46" spans="1:12" ht="16.5">
      <c r="A46" s="4"/>
      <c r="B46" s="4"/>
      <c r="C46" s="4"/>
      <c r="D46" s="9"/>
      <c r="E46" s="4"/>
      <c r="F46" s="1"/>
      <c r="G46" s="2"/>
      <c r="H46" s="2"/>
      <c r="I46" s="2"/>
      <c r="J46" s="2"/>
      <c r="K46" s="2"/>
      <c r="L46" s="2"/>
    </row>
    <row r="47" spans="1:12" ht="16.5">
      <c r="A47" s="4"/>
      <c r="B47" s="4"/>
      <c r="C47" s="4"/>
      <c r="D47" s="9"/>
      <c r="E47" s="4"/>
      <c r="F47" s="1"/>
      <c r="G47" s="2"/>
      <c r="H47" s="2"/>
      <c r="I47" s="2"/>
      <c r="J47" s="2"/>
      <c r="K47" s="2"/>
      <c r="L47" s="2"/>
    </row>
    <row r="48" spans="1:12" ht="16.5">
      <c r="A48" s="4"/>
      <c r="B48" s="4"/>
      <c r="C48" s="4"/>
      <c r="D48" s="9"/>
      <c r="E48" s="4"/>
      <c r="F48" s="1"/>
      <c r="G48" s="2"/>
      <c r="H48" s="2"/>
      <c r="I48" s="2"/>
      <c r="J48" s="2"/>
      <c r="K48" s="2"/>
      <c r="L48" s="2"/>
    </row>
    <row r="49" spans="1:11" ht="16.5">
      <c r="A49" s="4"/>
      <c r="B49" s="4"/>
      <c r="C49" s="4"/>
      <c r="D49" s="9"/>
      <c r="E49" s="4"/>
      <c r="F49" s="1"/>
      <c r="G49" s="2"/>
      <c r="H49" s="2"/>
      <c r="I49" s="2"/>
      <c r="J49" s="2"/>
      <c r="K49" s="2"/>
    </row>
    <row r="50" spans="1:11" ht="16.5">
      <c r="A50" s="4"/>
      <c r="B50" s="4"/>
      <c r="C50" s="4"/>
      <c r="D50" s="4"/>
      <c r="E50" s="4"/>
      <c r="F50" s="1"/>
      <c r="G50" s="2"/>
      <c r="H50" s="2"/>
      <c r="I50" s="2"/>
      <c r="J50" s="2"/>
      <c r="K50" s="2"/>
    </row>
    <row r="51" spans="1:11" ht="16.5">
      <c r="A51" s="4"/>
      <c r="B51" s="4"/>
      <c r="C51" s="4"/>
      <c r="D51" s="4"/>
      <c r="E51" s="4"/>
      <c r="F51" s="1"/>
      <c r="G51" s="2"/>
      <c r="H51" s="2"/>
      <c r="I51" s="2"/>
      <c r="J51" s="2"/>
      <c r="K51" s="2"/>
    </row>
    <row r="52" spans="1:11" ht="16.5">
      <c r="A52" s="4"/>
      <c r="B52" s="4"/>
      <c r="C52" s="4"/>
      <c r="D52" s="4"/>
      <c r="E52" s="4"/>
      <c r="F52" s="1"/>
      <c r="G52" s="2"/>
      <c r="H52" s="2"/>
      <c r="I52" s="2"/>
      <c r="J52" s="2"/>
      <c r="K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7228-EFA3-43E0-8CF5-7B4807EA0C42}">
  <dimension ref="A1:H54"/>
  <sheetViews>
    <sheetView topLeftCell="A27" workbookViewId="0">
      <selection activeCell="E49" sqref="E49"/>
    </sheetView>
  </sheetViews>
  <sheetFormatPr defaultRowHeight="12.75"/>
  <cols>
    <col min="1" max="1" width="11.140625" customWidth="1"/>
    <col min="2" max="2" width="11.7109375" customWidth="1"/>
    <col min="3" max="3" width="12.7109375" customWidth="1"/>
    <col min="4" max="4" width="11.5703125" customWidth="1"/>
    <col min="5" max="5" width="13.42578125" customWidth="1"/>
    <col min="6" max="6" width="12.42578125" customWidth="1"/>
  </cols>
  <sheetData>
    <row r="1" spans="1:8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2"/>
      <c r="H1" s="2"/>
    </row>
    <row r="2" spans="1:8">
      <c r="A2" s="2">
        <v>1</v>
      </c>
      <c r="B2" s="1">
        <f>Данные!F2</f>
        <v>20.761245674740486</v>
      </c>
      <c r="C2" s="2">
        <f>Данные!E2</f>
        <v>300</v>
      </c>
      <c r="D2" s="1">
        <f>B2*B2</f>
        <v>431.02932196693052</v>
      </c>
      <c r="E2" s="2">
        <f>C2*C2</f>
        <v>90000</v>
      </c>
      <c r="F2" s="1">
        <f>B2*C2</f>
        <v>6228.3737024221455</v>
      </c>
      <c r="G2" s="2"/>
      <c r="H2" s="2" t="s">
        <v>13</v>
      </c>
    </row>
    <row r="3" spans="1:8">
      <c r="A3" s="2">
        <v>2</v>
      </c>
      <c r="B3" s="1">
        <f>Данные!F3</f>
        <v>21.224489795918366</v>
      </c>
      <c r="C3" s="2">
        <f>Данные!E3</f>
        <v>280</v>
      </c>
      <c r="D3" s="1">
        <f t="shared" ref="D3:D39" si="0">B3*B3</f>
        <v>450.47896709704287</v>
      </c>
      <c r="E3" s="2">
        <f t="shared" ref="E3:E39" si="1">C3*C3</f>
        <v>78400</v>
      </c>
      <c r="F3" s="1">
        <f t="shared" ref="F3:F39" si="2">B3*C3</f>
        <v>5942.8571428571422</v>
      </c>
      <c r="G3" s="2"/>
      <c r="H3" s="2" t="s">
        <v>14</v>
      </c>
    </row>
    <row r="4" spans="1:8">
      <c r="A4" s="2">
        <v>3</v>
      </c>
      <c r="B4" s="1">
        <f>Данные!F4</f>
        <v>21.604938271604937</v>
      </c>
      <c r="C4" s="2">
        <f>Данные!E4</f>
        <v>260</v>
      </c>
      <c r="D4" s="1">
        <f t="shared" si="0"/>
        <v>466.77335771985969</v>
      </c>
      <c r="E4" s="2">
        <f t="shared" si="1"/>
        <v>67600</v>
      </c>
      <c r="F4" s="1">
        <f t="shared" si="2"/>
        <v>5617.2839506172832</v>
      </c>
      <c r="G4" s="2"/>
      <c r="H4" s="2"/>
    </row>
    <row r="5" spans="1:8">
      <c r="A5" s="2">
        <v>4</v>
      </c>
      <c r="B5" s="1">
        <f>Данные!F5</f>
        <v>20.202020202020204</v>
      </c>
      <c r="C5" s="2">
        <f>Данные!E5</f>
        <v>320</v>
      </c>
      <c r="D5" s="1">
        <f t="shared" si="0"/>
        <v>408.12162024283248</v>
      </c>
      <c r="E5" s="2">
        <f t="shared" si="1"/>
        <v>102400</v>
      </c>
      <c r="F5" s="1">
        <f t="shared" si="2"/>
        <v>6464.6464646464656</v>
      </c>
      <c r="G5" s="2"/>
      <c r="H5" s="2"/>
    </row>
    <row r="6" spans="1:8">
      <c r="A6" s="2">
        <v>5</v>
      </c>
      <c r="B6" s="1">
        <f>Данные!F6</f>
        <v>22.985397512168742</v>
      </c>
      <c r="C6" s="2">
        <f>Данные!E6</f>
        <v>290</v>
      </c>
      <c r="D6" s="1">
        <f t="shared" si="0"/>
        <v>528.32849879241303</v>
      </c>
      <c r="E6" s="2">
        <f t="shared" si="1"/>
        <v>84100</v>
      </c>
      <c r="F6" s="1">
        <f t="shared" si="2"/>
        <v>6665.7652785289356</v>
      </c>
      <c r="G6" s="2"/>
      <c r="H6" s="2"/>
    </row>
    <row r="7" spans="1:8">
      <c r="A7" s="2">
        <v>6</v>
      </c>
      <c r="B7" s="1">
        <f>Данные!F7</f>
        <v>23.671253629592222</v>
      </c>
      <c r="C7" s="2">
        <f>Данные!E7</f>
        <v>250</v>
      </c>
      <c r="D7" s="1">
        <f t="shared" si="0"/>
        <v>560.32824839648299</v>
      </c>
      <c r="E7" s="2">
        <f t="shared" si="1"/>
        <v>62500</v>
      </c>
      <c r="F7" s="1">
        <f t="shared" si="2"/>
        <v>5917.8134073980555</v>
      </c>
      <c r="G7" s="2"/>
      <c r="H7" s="2"/>
    </row>
    <row r="8" spans="1:8">
      <c r="A8" s="2">
        <v>7</v>
      </c>
      <c r="B8" s="1">
        <f>Данные!F8</f>
        <v>21.707923392038097</v>
      </c>
      <c r="C8" s="2">
        <f>Данные!E8</f>
        <v>310</v>
      </c>
      <c r="D8" s="1">
        <f t="shared" si="0"/>
        <v>471.23393799459478</v>
      </c>
      <c r="E8" s="2">
        <f t="shared" si="1"/>
        <v>96100</v>
      </c>
      <c r="F8" s="1">
        <f t="shared" si="2"/>
        <v>6729.4562515318103</v>
      </c>
      <c r="G8" s="2"/>
      <c r="H8" s="2"/>
    </row>
    <row r="9" spans="1:8">
      <c r="A9" s="2">
        <v>8</v>
      </c>
      <c r="B9" s="1">
        <f>Данные!F9</f>
        <v>23.243801652892564</v>
      </c>
      <c r="C9" s="2">
        <f>Данные!E9</f>
        <v>270</v>
      </c>
      <c r="D9" s="1">
        <f t="shared" si="0"/>
        <v>540.27431527901115</v>
      </c>
      <c r="E9" s="2">
        <f t="shared" si="1"/>
        <v>72900</v>
      </c>
      <c r="F9" s="1">
        <f t="shared" si="2"/>
        <v>6275.8264462809921</v>
      </c>
      <c r="G9" s="2"/>
      <c r="H9" s="2"/>
    </row>
    <row r="10" spans="1:8">
      <c r="A10" s="2">
        <v>9</v>
      </c>
      <c r="B10" s="1">
        <f>Данные!F10</f>
        <v>24.151672503320853</v>
      </c>
      <c r="C10" s="2">
        <f>Данные!E10</f>
        <v>240</v>
      </c>
      <c r="D10" s="1">
        <f t="shared" si="0"/>
        <v>583.3032847076646</v>
      </c>
      <c r="E10" s="2">
        <f t="shared" si="1"/>
        <v>57600</v>
      </c>
      <c r="F10" s="1">
        <f t="shared" si="2"/>
        <v>5796.4014007970045</v>
      </c>
      <c r="G10" s="2"/>
      <c r="H10" s="2"/>
    </row>
    <row r="11" spans="1:8">
      <c r="A11" s="2">
        <v>10</v>
      </c>
      <c r="B11" s="1">
        <f>Данные!F11</f>
        <v>20.796729893506402</v>
      </c>
      <c r="C11" s="2">
        <f>Данные!E11</f>
        <v>330</v>
      </c>
      <c r="D11" s="1">
        <f t="shared" si="0"/>
        <v>432.50397426346279</v>
      </c>
      <c r="E11" s="2">
        <f t="shared" si="1"/>
        <v>108900</v>
      </c>
      <c r="F11" s="1">
        <f t="shared" si="2"/>
        <v>6862.920864857113</v>
      </c>
      <c r="G11" s="2"/>
      <c r="H11" s="2"/>
    </row>
    <row r="12" spans="1:8">
      <c r="A12" s="2">
        <v>11</v>
      </c>
      <c r="B12" s="1">
        <f>Данные!F12</f>
        <v>22.052190183434128</v>
      </c>
      <c r="C12" s="2">
        <f>Данные!E12</f>
        <v>300</v>
      </c>
      <c r="D12" s="1">
        <f t="shared" si="0"/>
        <v>486.29909188634849</v>
      </c>
      <c r="E12" s="2">
        <f t="shared" si="1"/>
        <v>90000</v>
      </c>
      <c r="F12" s="1">
        <f t="shared" si="2"/>
        <v>6615.6570550302386</v>
      </c>
      <c r="G12" s="2"/>
      <c r="H12" s="2"/>
    </row>
    <row r="13" spans="1:8">
      <c r="A13" s="2">
        <v>12</v>
      </c>
      <c r="B13" s="1">
        <f>Данные!F13</f>
        <v>23.095409007209515</v>
      </c>
      <c r="C13" s="2">
        <f>Данные!E13</f>
        <v>260</v>
      </c>
      <c r="D13" s="1">
        <f t="shared" si="0"/>
        <v>533.39791721029439</v>
      </c>
      <c r="E13" s="2">
        <f t="shared" si="1"/>
        <v>67600</v>
      </c>
      <c r="F13" s="1">
        <f t="shared" si="2"/>
        <v>6004.8063418744741</v>
      </c>
      <c r="G13" s="2"/>
      <c r="H13" s="2"/>
    </row>
    <row r="14" spans="1:8">
      <c r="A14" s="2">
        <v>13</v>
      </c>
      <c r="B14" s="1">
        <f>Данные!F14</f>
        <v>20.077334919690664</v>
      </c>
      <c r="C14" s="2">
        <f>Данные!E14</f>
        <v>340</v>
      </c>
      <c r="D14" s="1">
        <f t="shared" si="0"/>
        <v>403.0993774774301</v>
      </c>
      <c r="E14" s="2">
        <f t="shared" si="1"/>
        <v>115600</v>
      </c>
      <c r="F14" s="1">
        <f t="shared" si="2"/>
        <v>6826.293872694826</v>
      </c>
      <c r="G14" s="2"/>
      <c r="H14" s="2"/>
    </row>
    <row r="15" spans="1:8">
      <c r="A15" s="2">
        <v>14</v>
      </c>
      <c r="B15" s="1">
        <f>Данные!F15</f>
        <v>22.913033070004449</v>
      </c>
      <c r="C15" s="2">
        <f>Данные!E15</f>
        <v>280</v>
      </c>
      <c r="D15" s="1">
        <f t="shared" si="0"/>
        <v>525.00708446711747</v>
      </c>
      <c r="E15" s="2">
        <f t="shared" si="1"/>
        <v>78400</v>
      </c>
      <c r="F15" s="1">
        <f t="shared" si="2"/>
        <v>6415.6492596012458</v>
      </c>
      <c r="G15" s="2"/>
      <c r="H15" s="2"/>
    </row>
    <row r="16" spans="1:8">
      <c r="A16" s="2">
        <v>15</v>
      </c>
      <c r="B16" s="1">
        <f>Данные!F16</f>
        <v>23.301094832264035</v>
      </c>
      <c r="C16" s="2">
        <f>Данные!E16</f>
        <v>250</v>
      </c>
      <c r="D16" s="1">
        <f t="shared" si="0"/>
        <v>542.9410203821617</v>
      </c>
      <c r="E16" s="2">
        <f t="shared" si="1"/>
        <v>62500</v>
      </c>
      <c r="F16" s="1">
        <f t="shared" si="2"/>
        <v>5825.273708066009</v>
      </c>
      <c r="G16" s="2"/>
      <c r="H16" s="2"/>
    </row>
    <row r="17" spans="1:6">
      <c r="A17" s="2">
        <v>16</v>
      </c>
      <c r="B17" s="1">
        <f>Данные!F17</f>
        <v>21.612811791383223</v>
      </c>
      <c r="C17" s="2">
        <f>Данные!E17</f>
        <v>320</v>
      </c>
      <c r="D17" s="1">
        <f t="shared" si="0"/>
        <v>467.11363352975366</v>
      </c>
      <c r="E17" s="2">
        <f t="shared" si="1"/>
        <v>102400</v>
      </c>
      <c r="F17" s="1">
        <f t="shared" si="2"/>
        <v>6916.0997732426313</v>
      </c>
    </row>
    <row r="18" spans="1:6">
      <c r="A18" s="2">
        <v>17</v>
      </c>
      <c r="B18" s="1">
        <f>Данные!F18</f>
        <v>23.120623596247853</v>
      </c>
      <c r="C18" s="2">
        <f>Данные!E18</f>
        <v>290</v>
      </c>
      <c r="D18" s="1">
        <f t="shared" si="0"/>
        <v>534.56323547937302</v>
      </c>
      <c r="E18" s="2">
        <f t="shared" si="1"/>
        <v>84100</v>
      </c>
      <c r="F18" s="1">
        <f t="shared" si="2"/>
        <v>6704.9808429118775</v>
      </c>
    </row>
    <row r="19" spans="1:6">
      <c r="A19" s="2">
        <v>18</v>
      </c>
      <c r="B19" s="1">
        <f>Данные!F19</f>
        <v>23.808797045267237</v>
      </c>
      <c r="C19" s="2">
        <f>Данные!E19</f>
        <v>240</v>
      </c>
      <c r="D19" s="1">
        <f t="shared" si="0"/>
        <v>566.85881674272594</v>
      </c>
      <c r="E19" s="2">
        <f t="shared" si="1"/>
        <v>57600</v>
      </c>
      <c r="F19" s="1">
        <f t="shared" si="2"/>
        <v>5714.1112908641371</v>
      </c>
    </row>
    <row r="20" spans="1:6">
      <c r="A20" s="2">
        <v>19</v>
      </c>
      <c r="B20" s="1">
        <f>Данные!F20</f>
        <v>20.685150239512268</v>
      </c>
      <c r="C20" s="2">
        <f>Данные!E20</f>
        <v>330</v>
      </c>
      <c r="D20" s="1">
        <f t="shared" si="0"/>
        <v>427.87544043119442</v>
      </c>
      <c r="E20" s="2">
        <f t="shared" si="1"/>
        <v>108900</v>
      </c>
      <c r="F20" s="1">
        <f t="shared" si="2"/>
        <v>6826.099579039048</v>
      </c>
    </row>
    <row r="21" spans="1:6">
      <c r="A21" s="2">
        <v>20</v>
      </c>
      <c r="B21" s="1">
        <f>Данные!F21</f>
        <v>23.323418063818284</v>
      </c>
      <c r="C21" s="2">
        <f>Данные!E21</f>
        <v>310</v>
      </c>
      <c r="D21" s="1">
        <f t="shared" si="0"/>
        <v>543.98183017964504</v>
      </c>
      <c r="E21" s="2">
        <f t="shared" si="1"/>
        <v>96100</v>
      </c>
      <c r="F21" s="1">
        <f t="shared" si="2"/>
        <v>7230.2595997836679</v>
      </c>
    </row>
    <row r="22" spans="1:6">
      <c r="A22" s="2">
        <v>21</v>
      </c>
      <c r="B22" s="1">
        <f>Данные!F22</f>
        <v>23.98687034465345</v>
      </c>
      <c r="C22" s="2">
        <f>Данные!E22</f>
        <v>270</v>
      </c>
      <c r="D22" s="1">
        <f t="shared" si="0"/>
        <v>575.36994893121516</v>
      </c>
      <c r="E22" s="2">
        <f t="shared" si="1"/>
        <v>72900</v>
      </c>
      <c r="F22" s="1">
        <f t="shared" si="2"/>
        <v>6476.4549930564317</v>
      </c>
    </row>
    <row r="23" spans="1:6">
      <c r="A23" s="2">
        <v>22</v>
      </c>
      <c r="B23" s="1">
        <f>Данные!F23</f>
        <v>22.058051188683873</v>
      </c>
      <c r="C23" s="2">
        <f>Данные!E23</f>
        <v>300</v>
      </c>
      <c r="D23" s="1">
        <f t="shared" si="0"/>
        <v>486.55762224259803</v>
      </c>
      <c r="E23" s="2">
        <f t="shared" si="1"/>
        <v>90000</v>
      </c>
      <c r="F23" s="1">
        <f t="shared" si="2"/>
        <v>6617.4153566051618</v>
      </c>
    </row>
    <row r="24" spans="1:6">
      <c r="A24" s="2">
        <v>23</v>
      </c>
      <c r="B24" s="1">
        <f>Данные!F24</f>
        <v>20.897959183673468</v>
      </c>
      <c r="C24" s="2">
        <f>Данные!E24</f>
        <v>280</v>
      </c>
      <c r="D24" s="1">
        <f t="shared" si="0"/>
        <v>436.7246980424822</v>
      </c>
      <c r="E24" s="2">
        <f t="shared" si="1"/>
        <v>78400</v>
      </c>
      <c r="F24" s="1">
        <f t="shared" si="2"/>
        <v>5851.4285714285706</v>
      </c>
    </row>
    <row r="25" spans="1:6">
      <c r="A25" s="2">
        <v>24</v>
      </c>
      <c r="B25" s="1">
        <f>Данные!F25</f>
        <v>21.913580246913579</v>
      </c>
      <c r="C25" s="2">
        <f>Данные!E25</f>
        <v>260</v>
      </c>
      <c r="D25" s="1">
        <f t="shared" si="0"/>
        <v>480.20499923792102</v>
      </c>
      <c r="E25" s="2">
        <f t="shared" si="1"/>
        <v>67600</v>
      </c>
      <c r="F25" s="1">
        <f t="shared" si="2"/>
        <v>5697.5308641975307</v>
      </c>
    </row>
    <row r="26" spans="1:6">
      <c r="A26" s="2">
        <v>25</v>
      </c>
      <c r="B26" s="1">
        <f>Данные!F26</f>
        <v>20.569329660238754</v>
      </c>
      <c r="C26" s="2">
        <f>Данные!E26</f>
        <v>340</v>
      </c>
      <c r="D26" s="1">
        <f t="shared" si="0"/>
        <v>423.09732267157773</v>
      </c>
      <c r="E26" s="2">
        <f t="shared" si="1"/>
        <v>115600</v>
      </c>
      <c r="F26" s="1">
        <f t="shared" si="2"/>
        <v>6993.5720844811767</v>
      </c>
    </row>
    <row r="27" spans="1:6">
      <c r="A27" s="2">
        <v>26</v>
      </c>
      <c r="B27" s="1">
        <f>Данные!F27</f>
        <v>21.718066089745729</v>
      </c>
      <c r="C27" s="2">
        <f>Данные!E27</f>
        <v>290</v>
      </c>
      <c r="D27" s="1">
        <f t="shared" si="0"/>
        <v>471.67439467856337</v>
      </c>
      <c r="E27" s="2">
        <f t="shared" si="1"/>
        <v>84100</v>
      </c>
      <c r="F27" s="1">
        <f t="shared" si="2"/>
        <v>6298.239166026262</v>
      </c>
    </row>
    <row r="28" spans="1:6">
      <c r="A28" s="2">
        <v>27</v>
      </c>
      <c r="B28" s="1">
        <f>Данные!F28</f>
        <v>24.031709372366656</v>
      </c>
      <c r="C28" s="2">
        <f>Данные!E28</f>
        <v>250</v>
      </c>
      <c r="D28" s="1">
        <f t="shared" si="0"/>
        <v>577.52305535789537</v>
      </c>
      <c r="E28" s="2">
        <f t="shared" si="1"/>
        <v>62500</v>
      </c>
      <c r="F28" s="1">
        <f t="shared" si="2"/>
        <v>6007.9273430916637</v>
      </c>
    </row>
    <row r="29" spans="1:6">
      <c r="A29" s="2">
        <v>28</v>
      </c>
      <c r="B29" s="1">
        <f>Данные!F29</f>
        <v>19.705532421177875</v>
      </c>
      <c r="C29" s="2">
        <f>Данные!E29</f>
        <v>350</v>
      </c>
      <c r="D29" s="1">
        <f t="shared" si="0"/>
        <v>388.30800800209232</v>
      </c>
      <c r="E29" s="2">
        <f t="shared" si="1"/>
        <v>122500</v>
      </c>
      <c r="F29" s="1">
        <f t="shared" si="2"/>
        <v>6896.9363474122565</v>
      </c>
    </row>
    <row r="30" spans="1:6">
      <c r="A30" s="2">
        <v>29</v>
      </c>
      <c r="B30" s="1">
        <f>Данные!F30</f>
        <v>23.255018638213471</v>
      </c>
      <c r="C30" s="2">
        <f>Данные!E30</f>
        <v>280</v>
      </c>
      <c r="D30" s="1">
        <f t="shared" si="0"/>
        <v>540.79589186365592</v>
      </c>
      <c r="E30" s="2">
        <f t="shared" si="1"/>
        <v>78400</v>
      </c>
      <c r="F30" s="1">
        <f t="shared" si="2"/>
        <v>6511.4052186997724</v>
      </c>
    </row>
    <row r="31" spans="1:6">
      <c r="A31" s="2">
        <v>30</v>
      </c>
      <c r="B31" s="1">
        <f>Данные!F31</f>
        <v>23.620287912158062</v>
      </c>
      <c r="C31" s="2">
        <f>Данные!E31</f>
        <v>240</v>
      </c>
      <c r="D31" s="1">
        <f t="shared" si="0"/>
        <v>557.91800105324023</v>
      </c>
      <c r="E31" s="2">
        <f t="shared" si="1"/>
        <v>57600</v>
      </c>
      <c r="F31" s="1">
        <f t="shared" si="2"/>
        <v>5668.8690989179349</v>
      </c>
    </row>
    <row r="32" spans="1:6">
      <c r="A32" s="2">
        <v>31</v>
      </c>
      <c r="B32" s="1">
        <f>Данные!F32</f>
        <v>21.258503401360546</v>
      </c>
      <c r="C32" s="2">
        <f>Данные!E32</f>
        <v>320</v>
      </c>
      <c r="D32" s="1">
        <f t="shared" si="0"/>
        <v>451.92396686565792</v>
      </c>
      <c r="E32" s="2">
        <f t="shared" si="1"/>
        <v>102400</v>
      </c>
      <c r="F32" s="1">
        <f t="shared" si="2"/>
        <v>6802.7210884353744</v>
      </c>
    </row>
    <row r="33" spans="1:6">
      <c r="A33" s="2">
        <v>32</v>
      </c>
      <c r="B33" s="1">
        <f>Данные!F33</f>
        <v>23.450918219051392</v>
      </c>
      <c r="C33" s="2">
        <f>Данные!E33</f>
        <v>290</v>
      </c>
      <c r="D33" s="1">
        <f t="shared" si="0"/>
        <v>549.94556531663648</v>
      </c>
      <c r="E33" s="2">
        <f t="shared" si="1"/>
        <v>84100</v>
      </c>
      <c r="F33" s="1">
        <f t="shared" si="2"/>
        <v>6800.7662835249039</v>
      </c>
    </row>
    <row r="34" spans="1:6">
      <c r="A34" s="2">
        <v>33</v>
      </c>
      <c r="B34" s="1">
        <f>Данные!F34</f>
        <v>24.114038033027075</v>
      </c>
      <c r="C34" s="2">
        <f>Данные!E34</f>
        <v>230</v>
      </c>
      <c r="D34" s="1">
        <f t="shared" si="0"/>
        <v>581.48683025827631</v>
      </c>
      <c r="E34" s="2">
        <f t="shared" si="1"/>
        <v>52900</v>
      </c>
      <c r="F34" s="1">
        <f t="shared" si="2"/>
        <v>5546.2287475962275</v>
      </c>
    </row>
    <row r="35" spans="1:6">
      <c r="A35" s="2">
        <v>34</v>
      </c>
      <c r="B35" s="1">
        <f>Данные!F35</f>
        <v>21.048047612135289</v>
      </c>
      <c r="C35" s="2">
        <f>Данные!E35</f>
        <v>330</v>
      </c>
      <c r="D35" s="1">
        <f t="shared" si="0"/>
        <v>443.02030828271404</v>
      </c>
      <c r="E35" s="2">
        <f t="shared" si="1"/>
        <v>108900</v>
      </c>
      <c r="F35" s="1">
        <f t="shared" si="2"/>
        <v>6945.8557120046453</v>
      </c>
    </row>
    <row r="36" spans="1:6">
      <c r="A36" s="2">
        <v>35</v>
      </c>
      <c r="B36" s="1">
        <f>Данные!F36</f>
        <v>22.309356408869661</v>
      </c>
      <c r="C36" s="2">
        <f>Данные!E36</f>
        <v>310</v>
      </c>
      <c r="D36" s="1">
        <f t="shared" si="0"/>
        <v>497.70738337797383</v>
      </c>
      <c r="E36" s="2">
        <f t="shared" si="1"/>
        <v>96100</v>
      </c>
      <c r="F36" s="1">
        <f t="shared" si="2"/>
        <v>6915.9004867495951</v>
      </c>
    </row>
    <row r="37" spans="1:6">
      <c r="A37" s="2">
        <v>36</v>
      </c>
      <c r="B37" s="1">
        <f>Данные!F37</f>
        <v>23.671253629592222</v>
      </c>
      <c r="C37" s="2">
        <f>Данные!E37</f>
        <v>260</v>
      </c>
      <c r="D37" s="1">
        <f t="shared" si="0"/>
        <v>560.32824839648299</v>
      </c>
      <c r="E37" s="2">
        <f t="shared" si="1"/>
        <v>67600</v>
      </c>
      <c r="F37" s="1">
        <f t="shared" si="2"/>
        <v>6154.5259436939778</v>
      </c>
    </row>
    <row r="38" spans="1:6">
      <c r="A38" s="2">
        <v>37</v>
      </c>
      <c r="B38" s="1">
        <f>Данные!F38</f>
        <v>21.707923392038097</v>
      </c>
      <c r="C38" s="2">
        <f>Данные!E38</f>
        <v>300</v>
      </c>
      <c r="D38" s="1">
        <f t="shared" si="0"/>
        <v>471.23393799459478</v>
      </c>
      <c r="E38" s="2">
        <f t="shared" si="1"/>
        <v>90000</v>
      </c>
      <c r="F38" s="1">
        <f t="shared" si="2"/>
        <v>6512.3770176114294</v>
      </c>
    </row>
    <row r="39" spans="1:6">
      <c r="A39" s="2">
        <v>38</v>
      </c>
      <c r="B39" s="1">
        <f>Данные!F39</f>
        <v>21.224489795918366</v>
      </c>
      <c r="C39" s="2">
        <f>Данные!E39</f>
        <v>280</v>
      </c>
      <c r="D39" s="1">
        <f t="shared" si="0"/>
        <v>450.47896709704287</v>
      </c>
      <c r="E39" s="2">
        <f t="shared" si="1"/>
        <v>78400</v>
      </c>
      <c r="F39" s="1">
        <f t="shared" si="2"/>
        <v>5942.8571428571422</v>
      </c>
    </row>
    <row r="40" spans="1:6">
      <c r="A40" s="6" t="s">
        <v>15</v>
      </c>
      <c r="B40" s="1">
        <f>SUM(B2:B39)</f>
        <v>844.88027082645226</v>
      </c>
      <c r="C40" s="1">
        <f t="shared" ref="C40:F40" si="3">SUM(C2:C39)</f>
        <v>10950</v>
      </c>
      <c r="D40" s="1">
        <f t="shared" si="3"/>
        <v>18847.812123916956</v>
      </c>
      <c r="E40" s="1">
        <f t="shared" si="3"/>
        <v>3193700</v>
      </c>
      <c r="F40" s="1">
        <f t="shared" si="3"/>
        <v>242221.58769943516</v>
      </c>
    </row>
    <row r="41" spans="1:6">
      <c r="A41" s="6" t="s">
        <v>16</v>
      </c>
      <c r="B41" s="1">
        <f>B40/$A$39</f>
        <v>22.233691337538218</v>
      </c>
      <c r="C41" s="1">
        <f t="shared" ref="C41:F41" si="4">C40/$A$39</f>
        <v>288.15789473684208</v>
      </c>
      <c r="D41" s="1">
        <f t="shared" si="4"/>
        <v>495.99505589255148</v>
      </c>
      <c r="E41" s="1">
        <f t="shared" si="4"/>
        <v>84044.736842105267</v>
      </c>
      <c r="F41" s="1">
        <f t="shared" si="4"/>
        <v>6374.2523078798722</v>
      </c>
    </row>
    <row r="42" spans="1:6">
      <c r="A42" s="2"/>
      <c r="B42" s="2" t="s">
        <v>8</v>
      </c>
      <c r="C42" s="2" t="s">
        <v>9</v>
      </c>
      <c r="D42" s="2" t="s">
        <v>10</v>
      </c>
      <c r="E42" s="2" t="s">
        <v>11</v>
      </c>
      <c r="F42" s="2" t="s">
        <v>12</v>
      </c>
    </row>
    <row r="44" spans="1:6" ht="13.5" customHeight="1">
      <c r="A44" s="2" t="s">
        <v>17</v>
      </c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 t="s">
        <v>18</v>
      </c>
      <c r="F46" s="3">
        <f>(F41-(B41*C41))/(SQRT(D41-(B41*B41))*SQRT(E41-(C41*C41)))</f>
        <v>-0.79578758037705233</v>
      </c>
    </row>
    <row r="48" spans="1:6">
      <c r="A48" s="2"/>
      <c r="B48" s="2"/>
      <c r="C48" s="2"/>
      <c r="D48" s="2"/>
      <c r="E48" s="2" t="s">
        <v>19</v>
      </c>
      <c r="F48" s="2"/>
    </row>
    <row r="49" spans="1:7">
      <c r="A49" s="2"/>
      <c r="B49" s="2"/>
      <c r="C49" s="2"/>
      <c r="D49" s="2"/>
      <c r="E49" s="2" t="s">
        <v>20</v>
      </c>
      <c r="F49" s="2"/>
      <c r="G49" s="2"/>
    </row>
    <row r="51" spans="1:7">
      <c r="A51" s="2"/>
      <c r="B51" s="2"/>
      <c r="C51" s="2"/>
      <c r="D51" s="2"/>
      <c r="E51" s="2" t="s">
        <v>21</v>
      </c>
      <c r="F51" s="2"/>
      <c r="G51" s="3">
        <f>CORREL(B2:B39,C2:C39)</f>
        <v>-0.79578758037694153</v>
      </c>
    </row>
    <row r="54" spans="1:7">
      <c r="A54" s="2"/>
      <c r="B54" s="2"/>
      <c r="C54" s="3"/>
      <c r="D54" s="2"/>
      <c r="E54" s="2"/>
      <c r="F54" s="2"/>
      <c r="G54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2A06-E2CF-4AB2-B559-B5596ED6979F}">
  <dimension ref="A1:F51"/>
  <sheetViews>
    <sheetView tabSelected="1" topLeftCell="A36" workbookViewId="0">
      <selection activeCell="E50" sqref="E50"/>
    </sheetView>
  </sheetViews>
  <sheetFormatPr defaultRowHeight="12.75"/>
  <cols>
    <col min="3" max="3" width="12.5703125" customWidth="1"/>
    <col min="5" max="5" width="17.28515625" customWidth="1"/>
    <col min="6" max="6" width="12.42578125" customWidth="1"/>
  </cols>
  <sheetData>
    <row r="1" spans="1:6">
      <c r="A1" s="6" t="s">
        <v>22</v>
      </c>
      <c r="B1" s="6" t="s">
        <v>8</v>
      </c>
      <c r="C1" s="6" t="s">
        <v>23</v>
      </c>
      <c r="D1" s="6" t="s">
        <v>10</v>
      </c>
      <c r="E1" s="6" t="s">
        <v>11</v>
      </c>
      <c r="F1" s="6" t="s">
        <v>12</v>
      </c>
    </row>
    <row r="2" spans="1:6">
      <c r="A2" s="2">
        <v>1</v>
      </c>
      <c r="B2" s="1">
        <f>Данные!F2</f>
        <v>20.761245674740486</v>
      </c>
      <c r="C2" s="2">
        <f>Данные!G2</f>
        <v>2250</v>
      </c>
      <c r="D2" s="1">
        <f>B2*B2</f>
        <v>431.02932196693052</v>
      </c>
      <c r="E2" s="2">
        <f>C2*C2</f>
        <v>5062500</v>
      </c>
      <c r="F2" s="1">
        <f>B2*C2</f>
        <v>46712.802768166097</v>
      </c>
    </row>
    <row r="3" spans="1:6">
      <c r="A3" s="2">
        <v>2</v>
      </c>
      <c r="B3" s="1">
        <f>Данные!F3</f>
        <v>21.224489795918366</v>
      </c>
      <c r="C3" s="2">
        <f>Данные!G3</f>
        <v>2300</v>
      </c>
      <c r="D3" s="1">
        <f t="shared" ref="D3:D39" si="0">B3*B3</f>
        <v>450.47896709704287</v>
      </c>
      <c r="E3" s="2">
        <f t="shared" ref="E3:E39" si="1">C3*C3</f>
        <v>5290000</v>
      </c>
      <c r="F3" s="1">
        <f t="shared" ref="F3:F40" si="2">B3*C3</f>
        <v>48816.326530612241</v>
      </c>
    </row>
    <row r="4" spans="1:6">
      <c r="A4" s="2">
        <v>3</v>
      </c>
      <c r="B4" s="1">
        <f>Данные!F4</f>
        <v>21.604938271604937</v>
      </c>
      <c r="C4" s="2">
        <f>Данные!G4</f>
        <v>2300</v>
      </c>
      <c r="D4" s="1">
        <f t="shared" si="0"/>
        <v>466.77335771985969</v>
      </c>
      <c r="E4" s="2">
        <f t="shared" si="1"/>
        <v>5290000</v>
      </c>
      <c r="F4" s="1">
        <f t="shared" si="2"/>
        <v>49691.358024691355</v>
      </c>
    </row>
    <row r="5" spans="1:6">
      <c r="A5" s="2">
        <v>4</v>
      </c>
      <c r="B5" s="1">
        <f>Данные!F5</f>
        <v>20.202020202020204</v>
      </c>
      <c r="C5" s="2">
        <f>Данные!G5</f>
        <v>2150</v>
      </c>
      <c r="D5" s="1">
        <f t="shared" si="0"/>
        <v>408.12162024283248</v>
      </c>
      <c r="E5" s="2">
        <f t="shared" si="1"/>
        <v>4622500</v>
      </c>
      <c r="F5" s="1">
        <f t="shared" si="2"/>
        <v>43434.343434343442</v>
      </c>
    </row>
    <row r="6" spans="1:6">
      <c r="A6" s="2">
        <v>5</v>
      </c>
      <c r="B6" s="1">
        <f>Данные!F6</f>
        <v>22.985397512168742</v>
      </c>
      <c r="C6" s="2">
        <f>Данные!G6</f>
        <v>2350</v>
      </c>
      <c r="D6" s="1">
        <f t="shared" si="0"/>
        <v>528.32849879241303</v>
      </c>
      <c r="E6" s="2">
        <f t="shared" si="1"/>
        <v>5522500</v>
      </c>
      <c r="F6" s="1">
        <f t="shared" si="2"/>
        <v>54015.684153596543</v>
      </c>
    </row>
    <row r="7" spans="1:6">
      <c r="A7" s="2">
        <v>6</v>
      </c>
      <c r="B7" s="1">
        <f>Данные!F7</f>
        <v>23.671253629592222</v>
      </c>
      <c r="C7" s="2">
        <f>Данные!G7</f>
        <v>2400</v>
      </c>
      <c r="D7" s="1">
        <f t="shared" si="0"/>
        <v>560.32824839648299</v>
      </c>
      <c r="E7" s="2">
        <f t="shared" si="1"/>
        <v>5760000</v>
      </c>
      <c r="F7" s="1">
        <f t="shared" si="2"/>
        <v>56811.008711021335</v>
      </c>
    </row>
    <row r="8" spans="1:6">
      <c r="A8" s="2">
        <v>7</v>
      </c>
      <c r="B8" s="1">
        <f>Данные!F8</f>
        <v>21.707923392038097</v>
      </c>
      <c r="C8" s="2">
        <f>Данные!G8</f>
        <v>2300</v>
      </c>
      <c r="D8" s="1">
        <f t="shared" si="0"/>
        <v>471.23393799459478</v>
      </c>
      <c r="E8" s="2">
        <f t="shared" si="1"/>
        <v>5290000</v>
      </c>
      <c r="F8" s="1">
        <f t="shared" si="2"/>
        <v>49928.223801687622</v>
      </c>
    </row>
    <row r="9" spans="1:6">
      <c r="A9" s="2">
        <v>8</v>
      </c>
      <c r="B9" s="1">
        <f>Данные!F9</f>
        <v>23.243801652892564</v>
      </c>
      <c r="C9" s="2">
        <f>Данные!G9</f>
        <v>2350</v>
      </c>
      <c r="D9" s="1">
        <f t="shared" si="0"/>
        <v>540.27431527901115</v>
      </c>
      <c r="E9" s="2">
        <f t="shared" si="1"/>
        <v>5522500</v>
      </c>
      <c r="F9" s="1">
        <f t="shared" si="2"/>
        <v>54622.933884297527</v>
      </c>
    </row>
    <row r="10" spans="1:6">
      <c r="A10" s="2">
        <v>9</v>
      </c>
      <c r="B10" s="1">
        <f>Данные!F10</f>
        <v>24.151672503320853</v>
      </c>
      <c r="C10" s="2">
        <f>Данные!G10</f>
        <v>2600</v>
      </c>
      <c r="D10" s="1">
        <f t="shared" si="0"/>
        <v>583.3032847076646</v>
      </c>
      <c r="E10" s="2">
        <f t="shared" si="1"/>
        <v>6760000</v>
      </c>
      <c r="F10" s="1">
        <f t="shared" si="2"/>
        <v>62794.348508634219</v>
      </c>
    </row>
    <row r="11" spans="1:6">
      <c r="A11" s="2">
        <v>10</v>
      </c>
      <c r="B11" s="1">
        <f>Данные!F11</f>
        <v>20.796729893506402</v>
      </c>
      <c r="C11" s="2">
        <f>Данные!G11</f>
        <v>2200</v>
      </c>
      <c r="D11" s="1">
        <f t="shared" si="0"/>
        <v>432.50397426346279</v>
      </c>
      <c r="E11" s="2">
        <f t="shared" si="1"/>
        <v>4840000</v>
      </c>
      <c r="F11" s="1">
        <f t="shared" si="2"/>
        <v>45752.805765714082</v>
      </c>
    </row>
    <row r="12" spans="1:6">
      <c r="A12" s="2">
        <v>11</v>
      </c>
      <c r="B12" s="1">
        <f>Данные!F12</f>
        <v>22.052190183434128</v>
      </c>
      <c r="C12" s="2">
        <f>Данные!G12</f>
        <v>2300</v>
      </c>
      <c r="D12" s="1">
        <f t="shared" si="0"/>
        <v>486.29909188634849</v>
      </c>
      <c r="E12" s="2">
        <f t="shared" si="1"/>
        <v>5290000</v>
      </c>
      <c r="F12" s="1">
        <f t="shared" si="2"/>
        <v>50720.037421898494</v>
      </c>
    </row>
    <row r="13" spans="1:6">
      <c r="A13" s="2">
        <v>12</v>
      </c>
      <c r="B13" s="1">
        <f>Данные!F13</f>
        <v>23.095409007209515</v>
      </c>
      <c r="C13" s="2">
        <f>Данные!G13</f>
        <v>2400</v>
      </c>
      <c r="D13" s="1">
        <f t="shared" si="0"/>
        <v>533.39791721029439</v>
      </c>
      <c r="E13" s="2">
        <f t="shared" si="1"/>
        <v>5760000</v>
      </c>
      <c r="F13" s="1">
        <f t="shared" si="2"/>
        <v>55428.981617302838</v>
      </c>
    </row>
    <row r="14" spans="1:6">
      <c r="A14" s="2">
        <v>13</v>
      </c>
      <c r="B14" s="1">
        <f>Данные!F14</f>
        <v>20.077334919690664</v>
      </c>
      <c r="C14" s="2">
        <f>Данные!G14</f>
        <v>2000</v>
      </c>
      <c r="D14" s="1">
        <f t="shared" si="0"/>
        <v>403.0993774774301</v>
      </c>
      <c r="E14" s="2">
        <f t="shared" si="1"/>
        <v>4000000</v>
      </c>
      <c r="F14" s="1">
        <f t="shared" si="2"/>
        <v>40154.669839381328</v>
      </c>
    </row>
    <row r="15" spans="1:6">
      <c r="A15" s="2">
        <v>14</v>
      </c>
      <c r="B15" s="1">
        <f>Данные!F15</f>
        <v>22.913033070004449</v>
      </c>
      <c r="C15" s="2">
        <f>Данные!G15</f>
        <v>2400</v>
      </c>
      <c r="D15" s="1">
        <f t="shared" si="0"/>
        <v>525.00708446711747</v>
      </c>
      <c r="E15" s="2">
        <f t="shared" si="1"/>
        <v>5760000</v>
      </c>
      <c r="F15" s="1">
        <f t="shared" si="2"/>
        <v>54991.279368010677</v>
      </c>
    </row>
    <row r="16" spans="1:6">
      <c r="A16" s="2">
        <v>15</v>
      </c>
      <c r="B16" s="1">
        <f>Данные!F16</f>
        <v>23.301094832264035</v>
      </c>
      <c r="C16" s="2">
        <f>Данные!G16</f>
        <v>2400</v>
      </c>
      <c r="D16" s="1">
        <f t="shared" si="0"/>
        <v>542.9410203821617</v>
      </c>
      <c r="E16" s="2">
        <f t="shared" si="1"/>
        <v>5760000</v>
      </c>
      <c r="F16" s="1">
        <f t="shared" si="2"/>
        <v>55922.627597433682</v>
      </c>
    </row>
    <row r="17" spans="1:6">
      <c r="A17" s="2">
        <v>16</v>
      </c>
      <c r="B17" s="1">
        <f>Данные!F17</f>
        <v>21.612811791383223</v>
      </c>
      <c r="C17" s="2">
        <f>Данные!G17</f>
        <v>2300</v>
      </c>
      <c r="D17" s="1">
        <f t="shared" si="0"/>
        <v>467.11363352975366</v>
      </c>
      <c r="E17" s="2">
        <f t="shared" si="1"/>
        <v>5290000</v>
      </c>
      <c r="F17" s="1">
        <f t="shared" si="2"/>
        <v>49709.467120181413</v>
      </c>
    </row>
    <row r="18" spans="1:6">
      <c r="A18" s="2">
        <v>17</v>
      </c>
      <c r="B18" s="1">
        <f>Данные!F18</f>
        <v>23.120623596247853</v>
      </c>
      <c r="C18" s="2">
        <f>Данные!G18</f>
        <v>2400</v>
      </c>
      <c r="D18" s="1">
        <f t="shared" si="0"/>
        <v>534.56323547937302</v>
      </c>
      <c r="E18" s="2">
        <f t="shared" si="1"/>
        <v>5760000</v>
      </c>
      <c r="F18" s="1">
        <f t="shared" si="2"/>
        <v>55489.49663099485</v>
      </c>
    </row>
    <row r="19" spans="1:6">
      <c r="A19" s="2">
        <v>18</v>
      </c>
      <c r="B19" s="1">
        <f>Данные!F19</f>
        <v>23.808797045267237</v>
      </c>
      <c r="C19" s="2">
        <f>Данные!G19</f>
        <v>2450</v>
      </c>
      <c r="D19" s="1">
        <f t="shared" si="0"/>
        <v>566.85881674272594</v>
      </c>
      <c r="E19" s="2">
        <f t="shared" si="1"/>
        <v>6002500</v>
      </c>
      <c r="F19" s="1">
        <f t="shared" si="2"/>
        <v>58331.552760904735</v>
      </c>
    </row>
    <row r="20" spans="1:6">
      <c r="A20" s="2">
        <v>19</v>
      </c>
      <c r="B20" s="1">
        <f>Данные!F20</f>
        <v>20.685150239512268</v>
      </c>
      <c r="C20" s="2">
        <f>Данные!G20</f>
        <v>2150</v>
      </c>
      <c r="D20" s="1">
        <f t="shared" si="0"/>
        <v>427.87544043119442</v>
      </c>
      <c r="E20" s="2">
        <f t="shared" si="1"/>
        <v>4622500</v>
      </c>
      <c r="F20" s="1">
        <f t="shared" si="2"/>
        <v>44473.073014951377</v>
      </c>
    </row>
    <row r="21" spans="1:6">
      <c r="A21" s="2">
        <v>20</v>
      </c>
      <c r="B21" s="1">
        <f>Данные!F21</f>
        <v>23.323418063818284</v>
      </c>
      <c r="C21" s="2">
        <f>Данные!G21</f>
        <v>2400</v>
      </c>
      <c r="D21" s="1">
        <f t="shared" si="0"/>
        <v>543.98183017964504</v>
      </c>
      <c r="E21" s="2">
        <f t="shared" si="1"/>
        <v>5760000</v>
      </c>
      <c r="F21" s="1">
        <f t="shared" si="2"/>
        <v>55976.203353163881</v>
      </c>
    </row>
    <row r="22" spans="1:6">
      <c r="A22" s="2">
        <v>21</v>
      </c>
      <c r="B22" s="1">
        <f>Данные!F22</f>
        <v>23.98687034465345</v>
      </c>
      <c r="C22" s="2">
        <f>Данные!G22</f>
        <v>2500</v>
      </c>
      <c r="D22" s="1">
        <f t="shared" si="0"/>
        <v>575.36994893121516</v>
      </c>
      <c r="E22" s="2">
        <f t="shared" si="1"/>
        <v>6250000</v>
      </c>
      <c r="F22" s="1">
        <f t="shared" si="2"/>
        <v>59967.175861633623</v>
      </c>
    </row>
    <row r="23" spans="1:6">
      <c r="A23" s="2">
        <v>22</v>
      </c>
      <c r="B23" s="1">
        <f>Данные!F23</f>
        <v>22.058051188683873</v>
      </c>
      <c r="C23" s="2">
        <f>Данные!G23</f>
        <v>2200</v>
      </c>
      <c r="D23" s="1">
        <f t="shared" si="0"/>
        <v>486.55762224259803</v>
      </c>
      <c r="E23" s="2">
        <f t="shared" si="1"/>
        <v>4840000</v>
      </c>
      <c r="F23" s="1">
        <f t="shared" si="2"/>
        <v>48527.712615104523</v>
      </c>
    </row>
    <row r="24" spans="1:6">
      <c r="A24" s="2">
        <v>23</v>
      </c>
      <c r="B24" s="1">
        <f>Данные!F24</f>
        <v>20.897959183673468</v>
      </c>
      <c r="C24" s="2">
        <f>Данные!G24</f>
        <v>2200</v>
      </c>
      <c r="D24" s="1">
        <f t="shared" si="0"/>
        <v>436.7246980424822</v>
      </c>
      <c r="E24" s="2">
        <f t="shared" si="1"/>
        <v>4840000</v>
      </c>
      <c r="F24" s="1">
        <f t="shared" si="2"/>
        <v>45975.510204081627</v>
      </c>
    </row>
    <row r="25" spans="1:6">
      <c r="A25" s="2">
        <v>24</v>
      </c>
      <c r="B25" s="1">
        <f>Данные!F25</f>
        <v>21.913580246913579</v>
      </c>
      <c r="C25" s="2">
        <f>Данные!G25</f>
        <v>2350</v>
      </c>
      <c r="D25" s="1">
        <f t="shared" si="0"/>
        <v>480.20499923792102</v>
      </c>
      <c r="E25" s="2">
        <f t="shared" si="1"/>
        <v>5522500</v>
      </c>
      <c r="F25" s="1">
        <f t="shared" si="2"/>
        <v>51496.91358024691</v>
      </c>
    </row>
    <row r="26" spans="1:6">
      <c r="A26" s="2">
        <v>25</v>
      </c>
      <c r="B26" s="1">
        <f>Данные!F26</f>
        <v>20.569329660238754</v>
      </c>
      <c r="C26" s="2">
        <f>Данные!G26</f>
        <v>2200</v>
      </c>
      <c r="D26" s="1">
        <f t="shared" si="0"/>
        <v>423.09732267157773</v>
      </c>
      <c r="E26" s="2">
        <f t="shared" si="1"/>
        <v>4840000</v>
      </c>
      <c r="F26" s="1">
        <f t="shared" si="2"/>
        <v>45252.525252525258</v>
      </c>
    </row>
    <row r="27" spans="1:6">
      <c r="A27" s="2">
        <v>26</v>
      </c>
      <c r="B27" s="1">
        <f>Данные!F27</f>
        <v>21.718066089745729</v>
      </c>
      <c r="C27" s="2">
        <f>Данные!G27</f>
        <v>2300</v>
      </c>
      <c r="D27" s="1">
        <f t="shared" si="0"/>
        <v>471.67439467856337</v>
      </c>
      <c r="E27" s="2">
        <f t="shared" si="1"/>
        <v>5290000</v>
      </c>
      <c r="F27" s="1">
        <f t="shared" si="2"/>
        <v>49951.552006415179</v>
      </c>
    </row>
    <row r="28" spans="1:6">
      <c r="A28" s="2">
        <v>27</v>
      </c>
      <c r="B28" s="1">
        <f>Данные!F28</f>
        <v>24.031709372366656</v>
      </c>
      <c r="C28" s="2">
        <f>Данные!G28</f>
        <v>2500</v>
      </c>
      <c r="D28" s="1">
        <f t="shared" si="0"/>
        <v>577.52305535789537</v>
      </c>
      <c r="E28" s="2">
        <f t="shared" si="1"/>
        <v>6250000</v>
      </c>
      <c r="F28" s="1">
        <f t="shared" si="2"/>
        <v>60079.273430916641</v>
      </c>
    </row>
    <row r="29" spans="1:6">
      <c r="A29" s="2">
        <v>28</v>
      </c>
      <c r="B29" s="1">
        <f>Данные!F29</f>
        <v>19.705532421177875</v>
      </c>
      <c r="C29" s="2">
        <f>Данные!G29</f>
        <v>1950</v>
      </c>
      <c r="D29" s="1">
        <f t="shared" si="0"/>
        <v>388.30800800209232</v>
      </c>
      <c r="E29" s="2">
        <f t="shared" si="1"/>
        <v>3802500</v>
      </c>
      <c r="F29" s="1">
        <f t="shared" si="2"/>
        <v>38425.788221296854</v>
      </c>
    </row>
    <row r="30" spans="1:6">
      <c r="A30" s="2">
        <v>29</v>
      </c>
      <c r="B30" s="1">
        <f>Данные!F30</f>
        <v>23.255018638213471</v>
      </c>
      <c r="C30" s="2">
        <f>Данные!G30</f>
        <v>2400</v>
      </c>
      <c r="D30" s="1">
        <f t="shared" si="0"/>
        <v>540.79589186365592</v>
      </c>
      <c r="E30" s="2">
        <f t="shared" si="1"/>
        <v>5760000</v>
      </c>
      <c r="F30" s="1">
        <f t="shared" si="2"/>
        <v>55812.044731712333</v>
      </c>
    </row>
    <row r="31" spans="1:6">
      <c r="A31" s="2">
        <v>30</v>
      </c>
      <c r="B31" s="1">
        <f>Данные!F31</f>
        <v>23.620287912158062</v>
      </c>
      <c r="C31" s="2">
        <f>Данные!G31</f>
        <v>2450</v>
      </c>
      <c r="D31" s="1">
        <f t="shared" si="0"/>
        <v>557.91800105324023</v>
      </c>
      <c r="E31" s="2">
        <f t="shared" si="1"/>
        <v>6002500</v>
      </c>
      <c r="F31" s="1">
        <f t="shared" si="2"/>
        <v>57869.705384787252</v>
      </c>
    </row>
    <row r="32" spans="1:6">
      <c r="A32" s="2">
        <v>31</v>
      </c>
      <c r="B32" s="1">
        <f>Данные!F32</f>
        <v>21.258503401360546</v>
      </c>
      <c r="C32" s="2">
        <f>Данные!G32</f>
        <v>2300</v>
      </c>
      <c r="D32" s="1">
        <f t="shared" si="0"/>
        <v>451.92396686565792</v>
      </c>
      <c r="E32" s="2">
        <f t="shared" si="1"/>
        <v>5290000</v>
      </c>
      <c r="F32" s="1">
        <f t="shared" si="2"/>
        <v>48894.557823129253</v>
      </c>
    </row>
    <row r="33" spans="1:6">
      <c r="A33" s="2">
        <v>32</v>
      </c>
      <c r="B33" s="1">
        <f>Данные!F33</f>
        <v>23.450918219051392</v>
      </c>
      <c r="C33" s="2">
        <f>Данные!G33</f>
        <v>2450</v>
      </c>
      <c r="D33" s="1">
        <f t="shared" si="0"/>
        <v>549.94556531663648</v>
      </c>
      <c r="E33" s="2">
        <f t="shared" si="1"/>
        <v>6002500</v>
      </c>
      <c r="F33" s="1">
        <f t="shared" si="2"/>
        <v>57454.749636675908</v>
      </c>
    </row>
    <row r="34" spans="1:6">
      <c r="A34" s="2">
        <v>33</v>
      </c>
      <c r="B34" s="1">
        <f>Данные!F34</f>
        <v>24.114038033027075</v>
      </c>
      <c r="C34" s="2">
        <f>Данные!G34</f>
        <v>2550</v>
      </c>
      <c r="D34" s="1">
        <f t="shared" si="0"/>
        <v>581.48683025827631</v>
      </c>
      <c r="E34" s="2">
        <f t="shared" si="1"/>
        <v>6502500</v>
      </c>
      <c r="F34" s="1">
        <f t="shared" si="2"/>
        <v>61490.796984219043</v>
      </c>
    </row>
    <row r="35" spans="1:6">
      <c r="A35" s="2">
        <v>34</v>
      </c>
      <c r="B35" s="1">
        <f>Данные!F35</f>
        <v>21.048047612135289</v>
      </c>
      <c r="C35" s="2">
        <f>Данные!G35</f>
        <v>2200</v>
      </c>
      <c r="D35" s="1">
        <f t="shared" si="0"/>
        <v>443.02030828271404</v>
      </c>
      <c r="E35" s="2">
        <f t="shared" si="1"/>
        <v>4840000</v>
      </c>
      <c r="F35" s="1">
        <f t="shared" si="2"/>
        <v>46305.704746697636</v>
      </c>
    </row>
    <row r="36" spans="1:6">
      <c r="A36" s="2">
        <v>35</v>
      </c>
      <c r="B36" s="1">
        <f>Данные!F36</f>
        <v>22.309356408869661</v>
      </c>
      <c r="C36" s="2">
        <f>Данные!G36</f>
        <v>2150</v>
      </c>
      <c r="D36" s="1">
        <f t="shared" si="0"/>
        <v>497.70738337797383</v>
      </c>
      <c r="E36" s="2">
        <f t="shared" si="1"/>
        <v>4622500</v>
      </c>
      <c r="F36" s="1">
        <f t="shared" si="2"/>
        <v>47965.116279069771</v>
      </c>
    </row>
    <row r="37" spans="1:6">
      <c r="A37" s="2">
        <v>36</v>
      </c>
      <c r="B37" s="1">
        <f>Данные!F37</f>
        <v>23.671253629592222</v>
      </c>
      <c r="C37" s="2">
        <f>Данные!G37</f>
        <v>2450</v>
      </c>
      <c r="D37" s="1">
        <f t="shared" si="0"/>
        <v>560.32824839648299</v>
      </c>
      <c r="E37" s="2">
        <f t="shared" si="1"/>
        <v>6002500</v>
      </c>
      <c r="F37" s="1">
        <f t="shared" si="2"/>
        <v>57994.57139250094</v>
      </c>
    </row>
    <row r="38" spans="1:6">
      <c r="A38" s="2">
        <v>37</v>
      </c>
      <c r="B38" s="1">
        <f>Данные!F38</f>
        <v>21.707923392038097</v>
      </c>
      <c r="C38" s="2">
        <f>Данные!G38</f>
        <v>2250</v>
      </c>
      <c r="D38" s="1">
        <f t="shared" si="0"/>
        <v>471.23393799459478</v>
      </c>
      <c r="E38" s="2">
        <f t="shared" si="1"/>
        <v>5062500</v>
      </c>
      <c r="F38" s="1">
        <f t="shared" si="2"/>
        <v>48842.827632085719</v>
      </c>
    </row>
    <row r="39" spans="1:6">
      <c r="A39" s="2">
        <v>38</v>
      </c>
      <c r="B39" s="1">
        <f>Данные!F39</f>
        <v>21.224489795918366</v>
      </c>
      <c r="C39" s="2">
        <f>Данные!G39</f>
        <v>2200</v>
      </c>
      <c r="D39" s="1">
        <f t="shared" si="0"/>
        <v>450.47896709704287</v>
      </c>
      <c r="E39" s="2">
        <f t="shared" si="1"/>
        <v>4840000</v>
      </c>
      <c r="F39" s="1">
        <f t="shared" si="2"/>
        <v>46693.877551020407</v>
      </c>
    </row>
    <row r="40" spans="1:6">
      <c r="A40" s="6" t="s">
        <v>15</v>
      </c>
      <c r="B40" s="1">
        <f>SUM(B2:B39)</f>
        <v>844.88027082645226</v>
      </c>
      <c r="C40" s="1">
        <f t="shared" ref="C40:F40" si="3">SUM(C2:C39)</f>
        <v>88000</v>
      </c>
      <c r="D40" s="1">
        <f t="shared" si="3"/>
        <v>18847.812123916956</v>
      </c>
      <c r="E40" s="1">
        <f>SUM(E2:E39)</f>
        <v>204525000</v>
      </c>
      <c r="F40" s="1">
        <f>SUM(F2:F39)</f>
        <v>1962777.6276411067</v>
      </c>
    </row>
    <row r="41" spans="1:6">
      <c r="A41" s="6" t="s">
        <v>16</v>
      </c>
      <c r="B41" s="1">
        <f>B40/$A$39</f>
        <v>22.233691337538218</v>
      </c>
      <c r="C41" s="1">
        <f t="shared" ref="C41:E41" si="4">C40/$A$39</f>
        <v>2315.7894736842104</v>
      </c>
      <c r="D41" s="1">
        <f t="shared" si="4"/>
        <v>495.99505589255148</v>
      </c>
      <c r="E41" s="1">
        <f t="shared" si="4"/>
        <v>5382236.8421052629</v>
      </c>
      <c r="F41" s="1">
        <f>F40/$A$39</f>
        <v>51652.0428326607</v>
      </c>
    </row>
    <row r="42" spans="1:6">
      <c r="A42" s="2"/>
      <c r="B42" s="2" t="s">
        <v>8</v>
      </c>
      <c r="C42" s="2" t="s">
        <v>23</v>
      </c>
      <c r="D42" s="2" t="s">
        <v>10</v>
      </c>
      <c r="E42" s="2" t="s">
        <v>11</v>
      </c>
      <c r="F42" s="2" t="s">
        <v>12</v>
      </c>
    </row>
    <row r="44" spans="1:6" ht="15">
      <c r="A44" s="18" t="s">
        <v>17</v>
      </c>
      <c r="B44" s="2"/>
      <c r="C44" s="2"/>
      <c r="D44" s="2"/>
      <c r="E44" s="2"/>
      <c r="F44" s="2"/>
    </row>
    <row r="46" spans="1:6">
      <c r="A46" s="2"/>
      <c r="B46" s="2"/>
      <c r="C46" s="2"/>
      <c r="D46" s="2"/>
      <c r="E46" s="2" t="s">
        <v>18</v>
      </c>
      <c r="F46" s="3">
        <f>(F41-(B41*C41))/(SQRT(D41-(B41*B41))*SQRT(E41-(C41*C41)))</f>
        <v>0.91264141752407324</v>
      </c>
    </row>
    <row r="48" spans="1:6">
      <c r="A48" s="2"/>
      <c r="B48" s="2"/>
      <c r="C48" s="2"/>
      <c r="D48" s="2"/>
      <c r="E48" s="2" t="s">
        <v>24</v>
      </c>
      <c r="F48" s="2"/>
    </row>
    <row r="49" spans="5:6">
      <c r="E49" s="2" t="s">
        <v>25</v>
      </c>
      <c r="F49" s="2"/>
    </row>
    <row r="51" spans="5:6">
      <c r="E51" s="2" t="s">
        <v>21</v>
      </c>
      <c r="F51" s="3">
        <f>CORREL(B2:B39,C2:C39)</f>
        <v>0.9126414175240517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2023-08-25T14:01:22Z</dcterms:created>
  <dcterms:modified xsi:type="dcterms:W3CDTF">2024-12-18T15:45:20Z</dcterms:modified>
  <cp:category/>
  <cp:contentStatus/>
</cp:coreProperties>
</file>