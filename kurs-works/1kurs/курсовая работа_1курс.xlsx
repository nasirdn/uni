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астасия\OneDrive\Рабочий стол\доделать\"/>
    </mc:Choice>
  </mc:AlternateContent>
  <xr:revisionPtr revIDLastSave="0" documentId="13_ncr:1_{FCFEEB00-5039-4363-976D-3D1BBABCF958}" xr6:coauthVersionLast="45" xr6:coauthVersionMax="45" xr10:uidLastSave="{00000000-0000-0000-0000-000000000000}"/>
  <bookViews>
    <workbookView xWindow="1152" yWindow="1152" windowWidth="17280" windowHeight="8964" xr2:uid="{9A0886CC-E0BE-4DF3-BE95-A2E598A762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W7" i="1" l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U6" i="1"/>
  <c r="BU7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U8" i="1" l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X6" i="1" l="1"/>
  <c r="BV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6" i="1"/>
  <c r="AN6" i="1"/>
  <c r="AJ6" i="1"/>
  <c r="AJ7" i="1"/>
  <c r="AK6" i="1"/>
  <c r="AO7" i="1"/>
  <c r="AO8" i="1"/>
  <c r="AO9" i="1"/>
  <c r="AO10" i="1"/>
  <c r="AO11" i="1"/>
  <c r="AN11" i="1" s="1"/>
  <c r="AO12" i="1"/>
  <c r="AO13" i="1"/>
  <c r="AO14" i="1"/>
  <c r="AN14" i="1" s="1"/>
  <c r="AO15" i="1"/>
  <c r="AO16" i="1"/>
  <c r="AO17" i="1"/>
  <c r="AO18" i="1"/>
  <c r="AO19" i="1"/>
  <c r="AN19" i="1" s="1"/>
  <c r="AO20" i="1"/>
  <c r="AO21" i="1"/>
  <c r="AO22" i="1"/>
  <c r="AN22" i="1" s="1"/>
  <c r="AO23" i="1"/>
  <c r="AO24" i="1"/>
  <c r="AO25" i="1"/>
  <c r="AO26" i="1"/>
  <c r="AO27" i="1"/>
  <c r="AN27" i="1" s="1"/>
  <c r="AO28" i="1"/>
  <c r="AO29" i="1"/>
  <c r="AO30" i="1"/>
  <c r="AN30" i="1" s="1"/>
  <c r="AO31" i="1"/>
  <c r="AO32" i="1"/>
  <c r="AO33" i="1"/>
  <c r="AO34" i="1"/>
  <c r="AO35" i="1"/>
  <c r="AN35" i="1" s="1"/>
  <c r="AO36" i="1"/>
  <c r="AO37" i="1"/>
  <c r="AO38" i="1"/>
  <c r="AN38" i="1" s="1"/>
  <c r="AO39" i="1"/>
  <c r="AN7" i="1"/>
  <c r="AN8" i="1"/>
  <c r="AN9" i="1"/>
  <c r="AN10" i="1"/>
  <c r="AN12" i="1"/>
  <c r="AN13" i="1"/>
  <c r="AN15" i="1"/>
  <c r="AN16" i="1"/>
  <c r="AN17" i="1"/>
  <c r="AN18" i="1"/>
  <c r="AN20" i="1"/>
  <c r="AN21" i="1"/>
  <c r="AN23" i="1"/>
  <c r="AN24" i="1"/>
  <c r="AN25" i="1"/>
  <c r="AN26" i="1"/>
  <c r="AN28" i="1"/>
  <c r="AN29" i="1"/>
  <c r="AN31" i="1"/>
  <c r="AN32" i="1"/>
  <c r="AN33" i="1"/>
  <c r="AN34" i="1"/>
  <c r="AN36" i="1"/>
  <c r="AN37" i="1"/>
  <c r="AN39" i="1"/>
  <c r="AM7" i="1"/>
  <c r="AL7" i="1" s="1"/>
  <c r="AM8" i="1"/>
  <c r="AM9" i="1"/>
  <c r="AM10" i="1"/>
  <c r="AM11" i="1"/>
  <c r="AL11" i="1" s="1"/>
  <c r="AM12" i="1"/>
  <c r="AM13" i="1"/>
  <c r="AM14" i="1"/>
  <c r="AL14" i="1" s="1"/>
  <c r="AM15" i="1"/>
  <c r="AL15" i="1" s="1"/>
  <c r="AM16" i="1"/>
  <c r="AL16" i="1" s="1"/>
  <c r="AM17" i="1"/>
  <c r="AM18" i="1"/>
  <c r="AM19" i="1"/>
  <c r="AL19" i="1" s="1"/>
  <c r="AM20" i="1"/>
  <c r="AM21" i="1"/>
  <c r="AM22" i="1"/>
  <c r="AL22" i="1" s="1"/>
  <c r="AM23" i="1"/>
  <c r="AL23" i="1" s="1"/>
  <c r="AM24" i="1"/>
  <c r="AL24" i="1" s="1"/>
  <c r="AM25" i="1"/>
  <c r="AM26" i="1"/>
  <c r="AM27" i="1"/>
  <c r="AL27" i="1" s="1"/>
  <c r="AM28" i="1"/>
  <c r="AM29" i="1"/>
  <c r="AM30" i="1"/>
  <c r="AL30" i="1" s="1"/>
  <c r="AM31" i="1"/>
  <c r="AL31" i="1" s="1"/>
  <c r="AM32" i="1"/>
  <c r="AM33" i="1"/>
  <c r="AM34" i="1"/>
  <c r="AM35" i="1"/>
  <c r="AL35" i="1" s="1"/>
  <c r="AM36" i="1"/>
  <c r="AM37" i="1"/>
  <c r="AM38" i="1"/>
  <c r="AL38" i="1" s="1"/>
  <c r="AM39" i="1"/>
  <c r="AL39" i="1" s="1"/>
  <c r="AL8" i="1"/>
  <c r="AL9" i="1"/>
  <c r="AL10" i="1"/>
  <c r="AL12" i="1"/>
  <c r="AL13" i="1"/>
  <c r="AL17" i="1"/>
  <c r="AL18" i="1"/>
  <c r="AL20" i="1"/>
  <c r="AL21" i="1"/>
  <c r="AL25" i="1"/>
  <c r="AL26" i="1"/>
  <c r="AL28" i="1"/>
  <c r="AL29" i="1"/>
  <c r="AL32" i="1"/>
  <c r="AL33" i="1"/>
  <c r="AL34" i="1"/>
  <c r="AL36" i="1"/>
  <c r="AL37" i="1"/>
  <c r="AJ27" i="1"/>
  <c r="AO6" i="1"/>
  <c r="AM6" i="1"/>
  <c r="AL6" i="1" s="1"/>
  <c r="AK7" i="1"/>
  <c r="AK8" i="1"/>
  <c r="AJ8" i="1" s="1"/>
  <c r="AK9" i="1"/>
  <c r="AJ9" i="1" s="1"/>
  <c r="AK10" i="1"/>
  <c r="AJ10" i="1" s="1"/>
  <c r="AK11" i="1"/>
  <c r="AJ11" i="1" s="1"/>
  <c r="AK12" i="1"/>
  <c r="AJ12" i="1" s="1"/>
  <c r="AK13" i="1"/>
  <c r="AJ13" i="1" s="1"/>
  <c r="AK14" i="1"/>
  <c r="AJ14" i="1" s="1"/>
  <c r="AK15" i="1"/>
  <c r="AJ15" i="1" s="1"/>
  <c r="AK16" i="1"/>
  <c r="AJ16" i="1" s="1"/>
  <c r="AK17" i="1"/>
  <c r="AJ17" i="1" s="1"/>
  <c r="AK18" i="1"/>
  <c r="AJ18" i="1" s="1"/>
  <c r="AK19" i="1"/>
  <c r="AJ19" i="1" s="1"/>
  <c r="AK20" i="1"/>
  <c r="AJ20" i="1" s="1"/>
  <c r="AK21" i="1"/>
  <c r="AJ21" i="1" s="1"/>
  <c r="AK22" i="1"/>
  <c r="AJ22" i="1" s="1"/>
  <c r="AK23" i="1"/>
  <c r="AJ23" i="1" s="1"/>
  <c r="AK24" i="1"/>
  <c r="AJ24" i="1" s="1"/>
  <c r="AK25" i="1"/>
  <c r="AJ25" i="1" s="1"/>
  <c r="AK26" i="1"/>
  <c r="AJ26" i="1" s="1"/>
  <c r="AK27" i="1"/>
  <c r="AK28" i="1"/>
  <c r="AJ28" i="1" s="1"/>
  <c r="AK29" i="1"/>
  <c r="AJ29" i="1" s="1"/>
  <c r="AK30" i="1"/>
  <c r="AJ30" i="1" s="1"/>
  <c r="AK31" i="1"/>
  <c r="AJ31" i="1" s="1"/>
  <c r="AK32" i="1"/>
  <c r="AJ32" i="1" s="1"/>
  <c r="AK33" i="1"/>
  <c r="AJ33" i="1" s="1"/>
  <c r="AK34" i="1"/>
  <c r="AJ34" i="1" s="1"/>
  <c r="AK35" i="1"/>
  <c r="AJ35" i="1" s="1"/>
  <c r="AK36" i="1"/>
  <c r="AJ36" i="1" s="1"/>
  <c r="AK37" i="1"/>
  <c r="AJ37" i="1" s="1"/>
  <c r="AK38" i="1"/>
  <c r="AJ38" i="1" s="1"/>
  <c r="AK39" i="1"/>
  <c r="AJ3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6" i="1"/>
</calcChain>
</file>

<file path=xl/sharedStrings.xml><?xml version="1.0" encoding="utf-8"?>
<sst xmlns="http://schemas.openxmlformats.org/spreadsheetml/2006/main" count="48" uniqueCount="20">
  <si>
    <t>Т</t>
  </si>
  <si>
    <t>V</t>
  </si>
  <si>
    <t>T</t>
  </si>
  <si>
    <t>р</t>
  </si>
  <si>
    <t>Изотермический процесс</t>
  </si>
  <si>
    <t>Изобарный процесс</t>
  </si>
  <si>
    <t>Изохорный процесс</t>
  </si>
  <si>
    <t>R</t>
  </si>
  <si>
    <t>m(водород)</t>
  </si>
  <si>
    <t>m(кислород)</t>
  </si>
  <si>
    <t>m(углерод)</t>
  </si>
  <si>
    <t>V(в)</t>
  </si>
  <si>
    <t>p(в)</t>
  </si>
  <si>
    <t>V(к)</t>
  </si>
  <si>
    <t>p(к)</t>
  </si>
  <si>
    <t>V(у)</t>
  </si>
  <si>
    <t>p(у)</t>
  </si>
  <si>
    <r>
      <rPr>
        <sz val="11"/>
        <color theme="1"/>
        <rFont val="Calibri"/>
        <family val="2"/>
        <charset val="204"/>
      </rPr>
      <t>µ</t>
    </r>
    <r>
      <rPr>
        <sz val="11"/>
        <color theme="1"/>
        <rFont val="Calibri"/>
        <family val="2"/>
        <charset val="204"/>
        <scheme val="minor"/>
      </rPr>
      <t>(водород)</t>
    </r>
  </si>
  <si>
    <t>µ(кислород)</t>
  </si>
  <si>
    <t>µ(углерод)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</si>
</sst>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</a:t>
            </a:r>
            <a:r>
              <a:rPr lang="en-US" sz="1400" b="0" i="0" baseline="0">
                <a:effectLst/>
              </a:rPr>
              <a:t> </a:t>
            </a:r>
            <a:r>
              <a:rPr lang="ru-RU" sz="1400" b="0" i="0" baseline="0">
                <a:effectLst/>
              </a:rPr>
              <a:t>давления от температуры </a:t>
            </a:r>
            <a:r>
              <a:rPr lang="en-US" sz="1400" b="0" i="0" baseline="0">
                <a:effectLst/>
              </a:rPr>
              <a:t>p(T)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Лист1!$BS$6:$BS$39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Лист1!$BU$6:$BU$39</c:f>
              <c:numCache>
                <c:formatCode>General</c:formatCode>
                <c:ptCount val="34"/>
                <c:pt idx="0">
                  <c:v>8.31</c:v>
                </c:pt>
                <c:pt idx="1">
                  <c:v>9.141</c:v>
                </c:pt>
                <c:pt idx="2">
                  <c:v>9.9720000000000013</c:v>
                </c:pt>
                <c:pt idx="3">
                  <c:v>10.802999999999999</c:v>
                </c:pt>
                <c:pt idx="4">
                  <c:v>11.634</c:v>
                </c:pt>
                <c:pt idx="5">
                  <c:v>12.465</c:v>
                </c:pt>
                <c:pt idx="6">
                  <c:v>13.296000000000001</c:v>
                </c:pt>
                <c:pt idx="7">
                  <c:v>14.127000000000001</c:v>
                </c:pt>
                <c:pt idx="8">
                  <c:v>14.958000000000002</c:v>
                </c:pt>
                <c:pt idx="9">
                  <c:v>15.789000000000001</c:v>
                </c:pt>
                <c:pt idx="10">
                  <c:v>16.62</c:v>
                </c:pt>
                <c:pt idx="11">
                  <c:v>17.451000000000001</c:v>
                </c:pt>
                <c:pt idx="12">
                  <c:v>18.282</c:v>
                </c:pt>
                <c:pt idx="13">
                  <c:v>19.113000000000003</c:v>
                </c:pt>
                <c:pt idx="14">
                  <c:v>19.944000000000003</c:v>
                </c:pt>
                <c:pt idx="15">
                  <c:v>20.774999999999999</c:v>
                </c:pt>
                <c:pt idx="16">
                  <c:v>21.605999999999998</c:v>
                </c:pt>
                <c:pt idx="17">
                  <c:v>22.437000000000001</c:v>
                </c:pt>
                <c:pt idx="18">
                  <c:v>23.268000000000001</c:v>
                </c:pt>
                <c:pt idx="19">
                  <c:v>24.099</c:v>
                </c:pt>
                <c:pt idx="20">
                  <c:v>24.93</c:v>
                </c:pt>
                <c:pt idx="21">
                  <c:v>25.761000000000003</c:v>
                </c:pt>
                <c:pt idx="22">
                  <c:v>26.592000000000002</c:v>
                </c:pt>
                <c:pt idx="23">
                  <c:v>27.423000000000002</c:v>
                </c:pt>
                <c:pt idx="24">
                  <c:v>28.254000000000001</c:v>
                </c:pt>
                <c:pt idx="25">
                  <c:v>29.085000000000001</c:v>
                </c:pt>
                <c:pt idx="26">
                  <c:v>29.916000000000004</c:v>
                </c:pt>
                <c:pt idx="27">
                  <c:v>30.747000000000003</c:v>
                </c:pt>
                <c:pt idx="28">
                  <c:v>31.578000000000003</c:v>
                </c:pt>
                <c:pt idx="29">
                  <c:v>32.408999999999999</c:v>
                </c:pt>
                <c:pt idx="30">
                  <c:v>33.24</c:v>
                </c:pt>
                <c:pt idx="31">
                  <c:v>34.071000000000005</c:v>
                </c:pt>
                <c:pt idx="32">
                  <c:v>34.902000000000001</c:v>
                </c:pt>
                <c:pt idx="33">
                  <c:v>35.733000000000004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C-4EF8-B8D5-F746FD8B6F15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Лист1!$BS$6:$BS$39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Лист1!$BW$6:$BW$39</c:f>
              <c:numCache>
                <c:formatCode>General</c:formatCode>
                <c:ptCount val="34"/>
                <c:pt idx="0">
                  <c:v>8.31</c:v>
                </c:pt>
                <c:pt idx="1">
                  <c:v>9.141</c:v>
                </c:pt>
                <c:pt idx="2">
                  <c:v>9.9720000000000013</c:v>
                </c:pt>
                <c:pt idx="3">
                  <c:v>10.802999999999999</c:v>
                </c:pt>
                <c:pt idx="4">
                  <c:v>11.634</c:v>
                </c:pt>
                <c:pt idx="5">
                  <c:v>12.465</c:v>
                </c:pt>
                <c:pt idx="6">
                  <c:v>13.296000000000001</c:v>
                </c:pt>
                <c:pt idx="7">
                  <c:v>14.127000000000001</c:v>
                </c:pt>
                <c:pt idx="8">
                  <c:v>14.958000000000002</c:v>
                </c:pt>
                <c:pt idx="9">
                  <c:v>15.789000000000001</c:v>
                </c:pt>
                <c:pt idx="10">
                  <c:v>16.62</c:v>
                </c:pt>
                <c:pt idx="11">
                  <c:v>17.451000000000001</c:v>
                </c:pt>
                <c:pt idx="12">
                  <c:v>18.282</c:v>
                </c:pt>
                <c:pt idx="13">
                  <c:v>19.113000000000003</c:v>
                </c:pt>
                <c:pt idx="14">
                  <c:v>19.944000000000003</c:v>
                </c:pt>
                <c:pt idx="15">
                  <c:v>20.774999999999999</c:v>
                </c:pt>
                <c:pt idx="16">
                  <c:v>21.605999999999998</c:v>
                </c:pt>
                <c:pt idx="17">
                  <c:v>22.437000000000001</c:v>
                </c:pt>
                <c:pt idx="18">
                  <c:v>23.268000000000001</c:v>
                </c:pt>
                <c:pt idx="19">
                  <c:v>24.099</c:v>
                </c:pt>
                <c:pt idx="20">
                  <c:v>24.93</c:v>
                </c:pt>
                <c:pt idx="21">
                  <c:v>25.761000000000003</c:v>
                </c:pt>
                <c:pt idx="22">
                  <c:v>26.592000000000002</c:v>
                </c:pt>
                <c:pt idx="23">
                  <c:v>27.423000000000002</c:v>
                </c:pt>
                <c:pt idx="24">
                  <c:v>28.254000000000001</c:v>
                </c:pt>
                <c:pt idx="25">
                  <c:v>29.085000000000001</c:v>
                </c:pt>
                <c:pt idx="26">
                  <c:v>29.916000000000004</c:v>
                </c:pt>
                <c:pt idx="27">
                  <c:v>30.747000000000003</c:v>
                </c:pt>
                <c:pt idx="28">
                  <c:v>31.578000000000003</c:v>
                </c:pt>
                <c:pt idx="29">
                  <c:v>32.408999999999999</c:v>
                </c:pt>
                <c:pt idx="30">
                  <c:v>33.24</c:v>
                </c:pt>
                <c:pt idx="31">
                  <c:v>34.071000000000005</c:v>
                </c:pt>
                <c:pt idx="32">
                  <c:v>34.902000000000001</c:v>
                </c:pt>
                <c:pt idx="33">
                  <c:v>35.733000000000004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D-4B53-8B6C-6B7C658F708E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Лист1!$BS$6:$BS$33</c:f>
              <c:numCache>
                <c:formatCode>General</c:formatCode>
                <c:ptCount val="28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</c:numCache>
            </c:numRef>
          </c:xVal>
          <c:yVal>
            <c:numRef>
              <c:f>Лист1!$BY$6:$BY$39</c:f>
              <c:numCache>
                <c:formatCode>General</c:formatCode>
                <c:ptCount val="34"/>
                <c:pt idx="0">
                  <c:v>1.0757281553398059</c:v>
                </c:pt>
                <c:pt idx="1">
                  <c:v>1.1833009708737865</c:v>
                </c:pt>
                <c:pt idx="2">
                  <c:v>1.2908737864077668</c:v>
                </c:pt>
                <c:pt idx="3">
                  <c:v>1.3984466019417476</c:v>
                </c:pt>
                <c:pt idx="4">
                  <c:v>1.506019417475728</c:v>
                </c:pt>
                <c:pt idx="5">
                  <c:v>1.6135922330097088</c:v>
                </c:pt>
                <c:pt idx="6">
                  <c:v>1.7211650485436893</c:v>
                </c:pt>
                <c:pt idx="7">
                  <c:v>1.8287378640776701</c:v>
                </c:pt>
                <c:pt idx="8">
                  <c:v>1.9363106796116503</c:v>
                </c:pt>
                <c:pt idx="9">
                  <c:v>2.0438834951456308</c:v>
                </c:pt>
                <c:pt idx="10">
                  <c:v>2.1514563106796118</c:v>
                </c:pt>
                <c:pt idx="11">
                  <c:v>2.2590291262135924</c:v>
                </c:pt>
                <c:pt idx="12">
                  <c:v>2.366601941747573</c:v>
                </c:pt>
                <c:pt idx="13">
                  <c:v>2.4741747572815531</c:v>
                </c:pt>
                <c:pt idx="14">
                  <c:v>2.5817475728155337</c:v>
                </c:pt>
                <c:pt idx="15">
                  <c:v>2.6893203883495147</c:v>
                </c:pt>
                <c:pt idx="16">
                  <c:v>2.7968932038834953</c:v>
                </c:pt>
                <c:pt idx="17">
                  <c:v>2.9044660194174758</c:v>
                </c:pt>
                <c:pt idx="18">
                  <c:v>3.012038834951456</c:v>
                </c:pt>
                <c:pt idx="19">
                  <c:v>3.119611650485437</c:v>
                </c:pt>
                <c:pt idx="20">
                  <c:v>3.2271844660194176</c:v>
                </c:pt>
                <c:pt idx="21">
                  <c:v>3.3347572815533981</c:v>
                </c:pt>
                <c:pt idx="22">
                  <c:v>3.4423300970873787</c:v>
                </c:pt>
                <c:pt idx="23">
                  <c:v>3.5499029126213593</c:v>
                </c:pt>
                <c:pt idx="24">
                  <c:v>3.6574757281553403</c:v>
                </c:pt>
                <c:pt idx="25">
                  <c:v>3.7650485436893204</c:v>
                </c:pt>
                <c:pt idx="26">
                  <c:v>3.8726213592233005</c:v>
                </c:pt>
                <c:pt idx="27">
                  <c:v>3.9801941747572815</c:v>
                </c:pt>
                <c:pt idx="28">
                  <c:v>4.0877669902912617</c:v>
                </c:pt>
                <c:pt idx="29">
                  <c:v>4.1953398058252427</c:v>
                </c:pt>
                <c:pt idx="30">
                  <c:v>4.3029126213592237</c:v>
                </c:pt>
                <c:pt idx="31">
                  <c:v>4.4104854368932038</c:v>
                </c:pt>
                <c:pt idx="32">
                  <c:v>4.5180582524271848</c:v>
                </c:pt>
                <c:pt idx="33">
                  <c:v>4.625631067961165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8D-4B53-8B6C-6B7C658F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396912"/>
        <c:axId val="1612205264"/>
      </c:scatterChart>
      <c:valAx>
        <c:axId val="176939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2321913039302794"/>
              <c:y val="0.88048913373018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2205264"/>
        <c:crosses val="autoZero"/>
        <c:crossBetween val="midCat"/>
      </c:valAx>
      <c:valAx>
        <c:axId val="16122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3003409281889995E-2"/>
              <c:y val="0.13114129648957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39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объема от температуры </a:t>
            </a:r>
            <a:r>
              <a:rPr lang="en-US"/>
              <a:t>V(T)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Лист1!$BS$6:$BS$39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Лист1!$BT$6:$BT$39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FB-43C2-9518-8C1C6852C9FD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Лист1!$BS$6:$BS$39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Лист1!$BV$6:$BV$39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69-40C6-B1FF-DA100A6FCDD0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Лист1!$BS$6:$BS$35</c:f>
              <c:numCache>
                <c:formatCode>General</c:formatCode>
                <c:ptCount val="30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</c:numCache>
            </c:numRef>
          </c:xVal>
          <c:yVal>
            <c:numRef>
              <c:f>Лист1!$BX$6:$BX$39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69-40C6-B1FF-DA100A6FC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983072"/>
        <c:axId val="1612198192"/>
      </c:scatterChart>
      <c:valAx>
        <c:axId val="194598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8817791994750656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2198192"/>
        <c:crosses val="autoZero"/>
        <c:crossBetween val="midCat"/>
      </c:valAx>
      <c:valAx>
        <c:axId val="16121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3333379293799058E-2"/>
              <c:y val="0.13050784311945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598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давления от объема </a:t>
            </a:r>
            <a:r>
              <a:rPr lang="en-US" baseline="0"/>
              <a:t>p(V)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Лист1!$C$6:$C$39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</c:numCache>
            </c:numRef>
          </c:xVal>
          <c:yVal>
            <c:numRef>
              <c:f>Лист1!$D$6:$D$39</c:f>
              <c:numCache>
                <c:formatCode>General</c:formatCode>
                <c:ptCount val="34"/>
                <c:pt idx="0">
                  <c:v>83.1</c:v>
                </c:pt>
                <c:pt idx="1">
                  <c:v>69.25</c:v>
                </c:pt>
                <c:pt idx="2">
                  <c:v>59.357142857142854</c:v>
                </c:pt>
                <c:pt idx="3">
                  <c:v>51.9375</c:v>
                </c:pt>
                <c:pt idx="4">
                  <c:v>46.166666666666664</c:v>
                </c:pt>
                <c:pt idx="5">
                  <c:v>41.55</c:v>
                </c:pt>
                <c:pt idx="6">
                  <c:v>37.772727272727273</c:v>
                </c:pt>
                <c:pt idx="7">
                  <c:v>34.625</c:v>
                </c:pt>
                <c:pt idx="8">
                  <c:v>31.96153846153846</c:v>
                </c:pt>
                <c:pt idx="9">
                  <c:v>29.678571428571427</c:v>
                </c:pt>
                <c:pt idx="10">
                  <c:v>27.7</c:v>
                </c:pt>
                <c:pt idx="11">
                  <c:v>25.96875</c:v>
                </c:pt>
                <c:pt idx="12">
                  <c:v>24.441176470588236</c:v>
                </c:pt>
                <c:pt idx="13">
                  <c:v>23.083333333333332</c:v>
                </c:pt>
                <c:pt idx="14">
                  <c:v>21.868421052631579</c:v>
                </c:pt>
                <c:pt idx="15">
                  <c:v>20.774999999999999</c:v>
                </c:pt>
                <c:pt idx="16">
                  <c:v>19.785714285714285</c:v>
                </c:pt>
                <c:pt idx="17">
                  <c:v>18.886363636363637</c:v>
                </c:pt>
                <c:pt idx="18">
                  <c:v>18.065217391304348</c:v>
                </c:pt>
                <c:pt idx="19">
                  <c:v>17.3125</c:v>
                </c:pt>
                <c:pt idx="20">
                  <c:v>16.62</c:v>
                </c:pt>
                <c:pt idx="21">
                  <c:v>15.98076923076923</c:v>
                </c:pt>
                <c:pt idx="22">
                  <c:v>15.388888888888889</c:v>
                </c:pt>
                <c:pt idx="23">
                  <c:v>14.839285714285714</c:v>
                </c:pt>
                <c:pt idx="24">
                  <c:v>14.327586206896552</c:v>
                </c:pt>
                <c:pt idx="25">
                  <c:v>13.85</c:v>
                </c:pt>
                <c:pt idx="26">
                  <c:v>13.403225806451612</c:v>
                </c:pt>
                <c:pt idx="27">
                  <c:v>12.984375</c:v>
                </c:pt>
                <c:pt idx="28">
                  <c:v>12.590909090909092</c:v>
                </c:pt>
                <c:pt idx="29">
                  <c:v>12.220588235294118</c:v>
                </c:pt>
                <c:pt idx="30">
                  <c:v>11.871428571428572</c:v>
                </c:pt>
                <c:pt idx="31">
                  <c:v>11.541666666666666</c:v>
                </c:pt>
                <c:pt idx="32">
                  <c:v>11.22972972972973</c:v>
                </c:pt>
                <c:pt idx="33">
                  <c:v>10.934210526315789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0-4785-BA3F-7B16F0560EDB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Лист1!$E$6:$E$39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</c:numCache>
            </c:numRef>
          </c:xVal>
          <c:yVal>
            <c:numRef>
              <c:f>Лист1!$F$6:$F$39</c:f>
              <c:numCache>
                <c:formatCode>General</c:formatCode>
                <c:ptCount val="34"/>
                <c:pt idx="0">
                  <c:v>83.1</c:v>
                </c:pt>
                <c:pt idx="1">
                  <c:v>69.25</c:v>
                </c:pt>
                <c:pt idx="2">
                  <c:v>59.357142857142854</c:v>
                </c:pt>
                <c:pt idx="3">
                  <c:v>51.9375</c:v>
                </c:pt>
                <c:pt idx="4">
                  <c:v>46.166666666666664</c:v>
                </c:pt>
                <c:pt idx="5">
                  <c:v>41.55</c:v>
                </c:pt>
                <c:pt idx="6">
                  <c:v>37.772727272727273</c:v>
                </c:pt>
                <c:pt idx="7">
                  <c:v>34.625</c:v>
                </c:pt>
                <c:pt idx="8">
                  <c:v>31.96153846153846</c:v>
                </c:pt>
                <c:pt idx="9">
                  <c:v>29.678571428571427</c:v>
                </c:pt>
                <c:pt idx="10">
                  <c:v>27.7</c:v>
                </c:pt>
                <c:pt idx="11">
                  <c:v>25.96875</c:v>
                </c:pt>
                <c:pt idx="12">
                  <c:v>24.441176470588236</c:v>
                </c:pt>
                <c:pt idx="13">
                  <c:v>23.083333333333332</c:v>
                </c:pt>
                <c:pt idx="14">
                  <c:v>21.868421052631579</c:v>
                </c:pt>
                <c:pt idx="15">
                  <c:v>20.774999999999999</c:v>
                </c:pt>
                <c:pt idx="16">
                  <c:v>19.785714285714285</c:v>
                </c:pt>
                <c:pt idx="17">
                  <c:v>18.886363636363637</c:v>
                </c:pt>
                <c:pt idx="18">
                  <c:v>18.065217391304348</c:v>
                </c:pt>
                <c:pt idx="19">
                  <c:v>17.3125</c:v>
                </c:pt>
                <c:pt idx="20">
                  <c:v>16.62</c:v>
                </c:pt>
                <c:pt idx="21">
                  <c:v>15.98076923076923</c:v>
                </c:pt>
                <c:pt idx="22">
                  <c:v>15.388888888888889</c:v>
                </c:pt>
                <c:pt idx="23">
                  <c:v>14.839285714285714</c:v>
                </c:pt>
                <c:pt idx="24">
                  <c:v>14.327586206896552</c:v>
                </c:pt>
                <c:pt idx="25">
                  <c:v>13.85</c:v>
                </c:pt>
                <c:pt idx="26">
                  <c:v>13.403225806451612</c:v>
                </c:pt>
                <c:pt idx="27">
                  <c:v>12.984375</c:v>
                </c:pt>
                <c:pt idx="28">
                  <c:v>12.590909090909092</c:v>
                </c:pt>
                <c:pt idx="29">
                  <c:v>12.220588235294118</c:v>
                </c:pt>
                <c:pt idx="30">
                  <c:v>11.871428571428572</c:v>
                </c:pt>
                <c:pt idx="31">
                  <c:v>11.541666666666666</c:v>
                </c:pt>
                <c:pt idx="32">
                  <c:v>11.22972972972973</c:v>
                </c:pt>
                <c:pt idx="33">
                  <c:v>10.934210526315789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0-4785-BA3F-7B16F0560EDB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Лист1!$H$6:$H$43</c:f>
              <c:numCache>
                <c:formatCode>General</c:formatCode>
                <c:ptCount val="38"/>
                <c:pt idx="0">
                  <c:v>10.757281553398059</c:v>
                </c:pt>
                <c:pt idx="1">
                  <c:v>8.9644012944983817</c:v>
                </c:pt>
                <c:pt idx="2">
                  <c:v>7.6837725381414703</c:v>
                </c:pt>
                <c:pt idx="3">
                  <c:v>6.7233009708737859</c:v>
                </c:pt>
                <c:pt idx="4">
                  <c:v>5.9762675296655878</c:v>
                </c:pt>
                <c:pt idx="5">
                  <c:v>5.3786407766990294</c:v>
                </c:pt>
                <c:pt idx="6">
                  <c:v>4.8896734333627538</c:v>
                </c:pt>
                <c:pt idx="7">
                  <c:v>4.4822006472491909</c:v>
                </c:pt>
                <c:pt idx="8">
                  <c:v>4.1374159820761758</c:v>
                </c:pt>
                <c:pt idx="9">
                  <c:v>3.8418862690707352</c:v>
                </c:pt>
                <c:pt idx="10">
                  <c:v>3.5857605177993528</c:v>
                </c:pt>
                <c:pt idx="11">
                  <c:v>3.3616504854368929</c:v>
                </c:pt>
                <c:pt idx="12">
                  <c:v>3.1639063392347229</c:v>
                </c:pt>
                <c:pt idx="13">
                  <c:v>2.9881337648327939</c:v>
                </c:pt>
                <c:pt idx="14">
                  <c:v>2.8308635666836994</c:v>
                </c:pt>
                <c:pt idx="15">
                  <c:v>2.6893203883495147</c:v>
                </c:pt>
                <c:pt idx="16">
                  <c:v>2.5612575127138233</c:v>
                </c:pt>
                <c:pt idx="17">
                  <c:v>2.4448367166813769</c:v>
                </c:pt>
                <c:pt idx="18">
                  <c:v>2.3385394681300129</c:v>
                </c:pt>
                <c:pt idx="19">
                  <c:v>2.2411003236245954</c:v>
                </c:pt>
                <c:pt idx="20">
                  <c:v>2.1514563106796118</c:v>
                </c:pt>
                <c:pt idx="21">
                  <c:v>2.0687079910380879</c:v>
                </c:pt>
                <c:pt idx="22">
                  <c:v>1.9920891765551958</c:v>
                </c:pt>
                <c:pt idx="23">
                  <c:v>1.9209431345353676</c:v>
                </c:pt>
                <c:pt idx="24">
                  <c:v>1.8547037161031135</c:v>
                </c:pt>
                <c:pt idx="25">
                  <c:v>1.7928802588996764</c:v>
                </c:pt>
                <c:pt idx="26">
                  <c:v>1.7350454118383962</c:v>
                </c:pt>
                <c:pt idx="27">
                  <c:v>1.6808252427184465</c:v>
                </c:pt>
                <c:pt idx="28">
                  <c:v>1.6298911444542512</c:v>
                </c:pt>
                <c:pt idx="29">
                  <c:v>1.5819531696173614</c:v>
                </c:pt>
                <c:pt idx="30">
                  <c:v>1.536754507628294</c:v>
                </c:pt>
                <c:pt idx="31">
                  <c:v>1.494066882416397</c:v>
                </c:pt>
                <c:pt idx="32">
                  <c:v>1.4536866964051429</c:v>
                </c:pt>
                <c:pt idx="33">
                  <c:v>1.4154317833418497</c:v>
                </c:pt>
              </c:numCache>
            </c:numRef>
          </c:xVal>
          <c:yVal>
            <c:numRef>
              <c:f>Лист1!$G$6:$G$39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0-4785-BA3F-7B16F0560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59296"/>
        <c:axId val="1924198064"/>
      </c:scatterChart>
      <c:valAx>
        <c:axId val="1010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1194309323393608"/>
              <c:y val="0.87022624334048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198064"/>
        <c:crosses val="autoZero"/>
        <c:crossBetween val="midCat"/>
      </c:valAx>
      <c:valAx>
        <c:axId val="19241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3.1321959324202009E-2"/>
              <c:y val="0.13620458917513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5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объема от температуры </a:t>
            </a:r>
            <a:r>
              <a:rPr lang="en-US" baseline="0"/>
              <a:t>V(T)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Лист1!$C$6:$C$39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A0-4099-AAD4-CE16F9062A98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Лист1!$E$6:$E$39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A0-4099-AAD4-CE16F9062A98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Лист1!$G$6:$G$39</c:f>
              <c:numCache>
                <c:formatCode>General</c:formatCode>
                <c:ptCount val="3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A0-4099-AAD4-CE16F906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55056"/>
        <c:axId val="1924219280"/>
      </c:scatterChart>
      <c:valAx>
        <c:axId val="9625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0464601344464857"/>
              <c:y val="0.875334286895370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219280"/>
        <c:crosses val="autoZero"/>
        <c:crossBetween val="midCat"/>
      </c:valAx>
      <c:valAx>
        <c:axId val="19242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5029188678364116E-2"/>
              <c:y val="0.13601133687618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25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давления от температуры </a:t>
            </a:r>
            <a:r>
              <a:rPr lang="en-US" baseline="0"/>
              <a:t>p(T)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Лист1!$D$6:$D$39</c:f>
              <c:numCache>
                <c:formatCode>General</c:formatCode>
                <c:ptCount val="34"/>
                <c:pt idx="0">
                  <c:v>83.1</c:v>
                </c:pt>
                <c:pt idx="1">
                  <c:v>69.25</c:v>
                </c:pt>
                <c:pt idx="2">
                  <c:v>59.357142857142854</c:v>
                </c:pt>
                <c:pt idx="3">
                  <c:v>51.9375</c:v>
                </c:pt>
                <c:pt idx="4">
                  <c:v>46.166666666666664</c:v>
                </c:pt>
                <c:pt idx="5">
                  <c:v>41.55</c:v>
                </c:pt>
                <c:pt idx="6">
                  <c:v>37.772727272727273</c:v>
                </c:pt>
                <c:pt idx="7">
                  <c:v>34.625</c:v>
                </c:pt>
                <c:pt idx="8">
                  <c:v>31.96153846153846</c:v>
                </c:pt>
                <c:pt idx="9">
                  <c:v>29.678571428571427</c:v>
                </c:pt>
                <c:pt idx="10">
                  <c:v>27.7</c:v>
                </c:pt>
                <c:pt idx="11">
                  <c:v>25.96875</c:v>
                </c:pt>
                <c:pt idx="12">
                  <c:v>24.441176470588236</c:v>
                </c:pt>
                <c:pt idx="13">
                  <c:v>23.083333333333332</c:v>
                </c:pt>
                <c:pt idx="14">
                  <c:v>21.868421052631579</c:v>
                </c:pt>
                <c:pt idx="15">
                  <c:v>20.774999999999999</c:v>
                </c:pt>
                <c:pt idx="16">
                  <c:v>19.785714285714285</c:v>
                </c:pt>
                <c:pt idx="17">
                  <c:v>18.886363636363637</c:v>
                </c:pt>
                <c:pt idx="18">
                  <c:v>18.065217391304348</c:v>
                </c:pt>
                <c:pt idx="19">
                  <c:v>17.3125</c:v>
                </c:pt>
                <c:pt idx="20">
                  <c:v>16.62</c:v>
                </c:pt>
                <c:pt idx="21">
                  <c:v>15.98076923076923</c:v>
                </c:pt>
                <c:pt idx="22">
                  <c:v>15.388888888888889</c:v>
                </c:pt>
                <c:pt idx="23">
                  <c:v>14.839285714285714</c:v>
                </c:pt>
                <c:pt idx="24">
                  <c:v>14.327586206896552</c:v>
                </c:pt>
                <c:pt idx="25">
                  <c:v>13.85</c:v>
                </c:pt>
                <c:pt idx="26">
                  <c:v>13.403225806451612</c:v>
                </c:pt>
                <c:pt idx="27">
                  <c:v>12.984375</c:v>
                </c:pt>
                <c:pt idx="28">
                  <c:v>12.590909090909092</c:v>
                </c:pt>
                <c:pt idx="29">
                  <c:v>12.220588235294118</c:v>
                </c:pt>
                <c:pt idx="30">
                  <c:v>11.871428571428572</c:v>
                </c:pt>
                <c:pt idx="31">
                  <c:v>11.541666666666666</c:v>
                </c:pt>
                <c:pt idx="32">
                  <c:v>11.22972972972973</c:v>
                </c:pt>
                <c:pt idx="33">
                  <c:v>10.934210526315789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05-4964-AD6C-3B0550AA0C02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Лист1!$F$6:$F$39</c:f>
              <c:numCache>
                <c:formatCode>General</c:formatCode>
                <c:ptCount val="34"/>
                <c:pt idx="0">
                  <c:v>83.1</c:v>
                </c:pt>
                <c:pt idx="1">
                  <c:v>69.25</c:v>
                </c:pt>
                <c:pt idx="2">
                  <c:v>59.357142857142854</c:v>
                </c:pt>
                <c:pt idx="3">
                  <c:v>51.9375</c:v>
                </c:pt>
                <c:pt idx="4">
                  <c:v>46.166666666666664</c:v>
                </c:pt>
                <c:pt idx="5">
                  <c:v>41.55</c:v>
                </c:pt>
                <c:pt idx="6">
                  <c:v>37.772727272727273</c:v>
                </c:pt>
                <c:pt idx="7">
                  <c:v>34.625</c:v>
                </c:pt>
                <c:pt idx="8">
                  <c:v>31.96153846153846</c:v>
                </c:pt>
                <c:pt idx="9">
                  <c:v>29.678571428571427</c:v>
                </c:pt>
                <c:pt idx="10">
                  <c:v>27.7</c:v>
                </c:pt>
                <c:pt idx="11">
                  <c:v>25.96875</c:v>
                </c:pt>
                <c:pt idx="12">
                  <c:v>24.441176470588236</c:v>
                </c:pt>
                <c:pt idx="13">
                  <c:v>23.083333333333332</c:v>
                </c:pt>
                <c:pt idx="14">
                  <c:v>21.868421052631579</c:v>
                </c:pt>
                <c:pt idx="15">
                  <c:v>20.774999999999999</c:v>
                </c:pt>
                <c:pt idx="16">
                  <c:v>19.785714285714285</c:v>
                </c:pt>
                <c:pt idx="17">
                  <c:v>18.886363636363637</c:v>
                </c:pt>
                <c:pt idx="18">
                  <c:v>18.065217391304348</c:v>
                </c:pt>
                <c:pt idx="19">
                  <c:v>17.3125</c:v>
                </c:pt>
                <c:pt idx="20">
                  <c:v>16.62</c:v>
                </c:pt>
                <c:pt idx="21">
                  <c:v>15.98076923076923</c:v>
                </c:pt>
                <c:pt idx="22">
                  <c:v>15.388888888888889</c:v>
                </c:pt>
                <c:pt idx="23">
                  <c:v>14.839285714285714</c:v>
                </c:pt>
                <c:pt idx="24">
                  <c:v>14.327586206896552</c:v>
                </c:pt>
                <c:pt idx="25">
                  <c:v>13.85</c:v>
                </c:pt>
                <c:pt idx="26">
                  <c:v>13.403225806451612</c:v>
                </c:pt>
                <c:pt idx="27">
                  <c:v>12.984375</c:v>
                </c:pt>
                <c:pt idx="28">
                  <c:v>12.590909090909092</c:v>
                </c:pt>
                <c:pt idx="29">
                  <c:v>12.220588235294118</c:v>
                </c:pt>
                <c:pt idx="30">
                  <c:v>11.871428571428572</c:v>
                </c:pt>
                <c:pt idx="31">
                  <c:v>11.541666666666666</c:v>
                </c:pt>
                <c:pt idx="32">
                  <c:v>11.22972972972973</c:v>
                </c:pt>
                <c:pt idx="33">
                  <c:v>10.934210526315789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05-4964-AD6C-3B0550AA0C02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Лист1!$B$6:$B$39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Лист1!$H$6:$H$39</c:f>
              <c:numCache>
                <c:formatCode>General</c:formatCode>
                <c:ptCount val="34"/>
                <c:pt idx="0">
                  <c:v>10.757281553398059</c:v>
                </c:pt>
                <c:pt idx="1">
                  <c:v>8.9644012944983817</c:v>
                </c:pt>
                <c:pt idx="2">
                  <c:v>7.6837725381414703</c:v>
                </c:pt>
                <c:pt idx="3">
                  <c:v>6.7233009708737859</c:v>
                </c:pt>
                <c:pt idx="4">
                  <c:v>5.9762675296655878</c:v>
                </c:pt>
                <c:pt idx="5">
                  <c:v>5.3786407766990294</c:v>
                </c:pt>
                <c:pt idx="6">
                  <c:v>4.8896734333627538</c:v>
                </c:pt>
                <c:pt idx="7">
                  <c:v>4.4822006472491909</c:v>
                </c:pt>
                <c:pt idx="8">
                  <c:v>4.1374159820761758</c:v>
                </c:pt>
                <c:pt idx="9">
                  <c:v>3.8418862690707352</c:v>
                </c:pt>
                <c:pt idx="10">
                  <c:v>3.5857605177993528</c:v>
                </c:pt>
                <c:pt idx="11">
                  <c:v>3.3616504854368929</c:v>
                </c:pt>
                <c:pt idx="12">
                  <c:v>3.1639063392347229</c:v>
                </c:pt>
                <c:pt idx="13">
                  <c:v>2.9881337648327939</c:v>
                </c:pt>
                <c:pt idx="14">
                  <c:v>2.8308635666836994</c:v>
                </c:pt>
                <c:pt idx="15">
                  <c:v>2.6893203883495147</c:v>
                </c:pt>
                <c:pt idx="16">
                  <c:v>2.5612575127138233</c:v>
                </c:pt>
                <c:pt idx="17">
                  <c:v>2.4448367166813769</c:v>
                </c:pt>
                <c:pt idx="18">
                  <c:v>2.3385394681300129</c:v>
                </c:pt>
                <c:pt idx="19">
                  <c:v>2.2411003236245954</c:v>
                </c:pt>
                <c:pt idx="20">
                  <c:v>2.1514563106796118</c:v>
                </c:pt>
                <c:pt idx="21">
                  <c:v>2.0687079910380879</c:v>
                </c:pt>
                <c:pt idx="22">
                  <c:v>1.9920891765551958</c:v>
                </c:pt>
                <c:pt idx="23">
                  <c:v>1.9209431345353676</c:v>
                </c:pt>
                <c:pt idx="24">
                  <c:v>1.8547037161031135</c:v>
                </c:pt>
                <c:pt idx="25">
                  <c:v>1.7928802588996764</c:v>
                </c:pt>
                <c:pt idx="26">
                  <c:v>1.7350454118383962</c:v>
                </c:pt>
                <c:pt idx="27">
                  <c:v>1.6808252427184465</c:v>
                </c:pt>
                <c:pt idx="28">
                  <c:v>1.6298911444542512</c:v>
                </c:pt>
                <c:pt idx="29">
                  <c:v>1.5819531696173614</c:v>
                </c:pt>
                <c:pt idx="30">
                  <c:v>1.536754507628294</c:v>
                </c:pt>
                <c:pt idx="31">
                  <c:v>1.494066882416397</c:v>
                </c:pt>
                <c:pt idx="32">
                  <c:v>1.4536866964051429</c:v>
                </c:pt>
                <c:pt idx="33">
                  <c:v>1.4154317833418497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05-4964-AD6C-3B0550AA0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646144"/>
        <c:axId val="1924215120"/>
      </c:scatterChart>
      <c:valAx>
        <c:axId val="210164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0835429704851411"/>
              <c:y val="0.86794201745620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215120"/>
        <c:crosses val="autoZero"/>
        <c:crossBetween val="midCat"/>
      </c:valAx>
      <c:valAx>
        <c:axId val="19242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5065749833976171E-2"/>
              <c:y val="0.14006758385498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164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давления от объема </a:t>
            </a:r>
            <a:r>
              <a:rPr lang="en-US" baseline="0"/>
              <a:t>p(V)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Лист1!$AJ$6:$AJ$39</c:f>
              <c:numCache>
                <c:formatCode>General</c:formatCode>
                <c:ptCount val="34"/>
                <c:pt idx="0">
                  <c:v>1.0387500000000001</c:v>
                </c:pt>
                <c:pt idx="1">
                  <c:v>1.142625</c:v>
                </c:pt>
                <c:pt idx="2">
                  <c:v>1.2465000000000002</c:v>
                </c:pt>
                <c:pt idx="3">
                  <c:v>1.3503749999999999</c:v>
                </c:pt>
                <c:pt idx="4">
                  <c:v>1.45425</c:v>
                </c:pt>
                <c:pt idx="5">
                  <c:v>1.558125</c:v>
                </c:pt>
                <c:pt idx="6">
                  <c:v>1.6620000000000001</c:v>
                </c:pt>
                <c:pt idx="7">
                  <c:v>1.7658750000000001</c:v>
                </c:pt>
                <c:pt idx="8">
                  <c:v>1.8697500000000002</c:v>
                </c:pt>
                <c:pt idx="9">
                  <c:v>1.9736250000000002</c:v>
                </c:pt>
                <c:pt idx="10">
                  <c:v>2.0775000000000001</c:v>
                </c:pt>
                <c:pt idx="11">
                  <c:v>2.1813750000000001</c:v>
                </c:pt>
                <c:pt idx="12">
                  <c:v>2.28525</c:v>
                </c:pt>
                <c:pt idx="13">
                  <c:v>2.3891250000000004</c:v>
                </c:pt>
                <c:pt idx="14">
                  <c:v>2.4930000000000003</c:v>
                </c:pt>
                <c:pt idx="15">
                  <c:v>2.5968749999999998</c:v>
                </c:pt>
                <c:pt idx="16">
                  <c:v>2.7007499999999998</c:v>
                </c:pt>
                <c:pt idx="17">
                  <c:v>2.8046250000000001</c:v>
                </c:pt>
                <c:pt idx="18">
                  <c:v>2.9085000000000001</c:v>
                </c:pt>
                <c:pt idx="19">
                  <c:v>3.012375</c:v>
                </c:pt>
                <c:pt idx="20">
                  <c:v>3.11625</c:v>
                </c:pt>
                <c:pt idx="21">
                  <c:v>3.2201250000000003</c:v>
                </c:pt>
                <c:pt idx="22">
                  <c:v>3.3240000000000003</c:v>
                </c:pt>
                <c:pt idx="23">
                  <c:v>3.4278750000000002</c:v>
                </c:pt>
                <c:pt idx="24">
                  <c:v>3.5317500000000002</c:v>
                </c:pt>
                <c:pt idx="25">
                  <c:v>3.6356250000000001</c:v>
                </c:pt>
                <c:pt idx="26">
                  <c:v>3.7395000000000005</c:v>
                </c:pt>
                <c:pt idx="27">
                  <c:v>3.8433750000000004</c:v>
                </c:pt>
                <c:pt idx="28">
                  <c:v>3.9472500000000004</c:v>
                </c:pt>
                <c:pt idx="29">
                  <c:v>4.0511249999999999</c:v>
                </c:pt>
                <c:pt idx="30">
                  <c:v>4.1550000000000002</c:v>
                </c:pt>
                <c:pt idx="31">
                  <c:v>4.2588750000000006</c:v>
                </c:pt>
                <c:pt idx="32">
                  <c:v>4.3627500000000001</c:v>
                </c:pt>
                <c:pt idx="33">
                  <c:v>4.4666250000000005</c:v>
                </c:pt>
              </c:numCache>
            </c:numRef>
          </c:xVal>
          <c:yVal>
            <c:numRef>
              <c:f>Лист1!$AK$6:$AK$39</c:f>
              <c:numCache>
                <c:formatCode>General</c:formatCode>
                <c:ptCount val="3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B4-487F-AACC-08D5796BB343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Лист1!$AL$6:$AL$39</c:f>
              <c:numCache>
                <c:formatCode>General</c:formatCode>
                <c:ptCount val="34"/>
                <c:pt idx="0">
                  <c:v>1.0387500000000001</c:v>
                </c:pt>
                <c:pt idx="1">
                  <c:v>1.142625</c:v>
                </c:pt>
                <c:pt idx="2">
                  <c:v>1.2465000000000002</c:v>
                </c:pt>
                <c:pt idx="3">
                  <c:v>1.3503749999999999</c:v>
                </c:pt>
                <c:pt idx="4">
                  <c:v>1.45425</c:v>
                </c:pt>
                <c:pt idx="5">
                  <c:v>1.558125</c:v>
                </c:pt>
                <c:pt idx="6">
                  <c:v>1.6620000000000001</c:v>
                </c:pt>
                <c:pt idx="7">
                  <c:v>1.7658750000000001</c:v>
                </c:pt>
                <c:pt idx="8">
                  <c:v>1.8697500000000002</c:v>
                </c:pt>
                <c:pt idx="9">
                  <c:v>1.9736250000000002</c:v>
                </c:pt>
                <c:pt idx="10">
                  <c:v>2.0775000000000001</c:v>
                </c:pt>
                <c:pt idx="11">
                  <c:v>2.1813750000000001</c:v>
                </c:pt>
                <c:pt idx="12">
                  <c:v>2.28525</c:v>
                </c:pt>
                <c:pt idx="13">
                  <c:v>2.3891250000000004</c:v>
                </c:pt>
                <c:pt idx="14">
                  <c:v>2.4930000000000003</c:v>
                </c:pt>
                <c:pt idx="15">
                  <c:v>2.5968749999999998</c:v>
                </c:pt>
                <c:pt idx="16">
                  <c:v>2.7007499999999998</c:v>
                </c:pt>
                <c:pt idx="17">
                  <c:v>2.8046250000000001</c:v>
                </c:pt>
                <c:pt idx="18">
                  <c:v>2.9085000000000001</c:v>
                </c:pt>
                <c:pt idx="19">
                  <c:v>3.012375</c:v>
                </c:pt>
                <c:pt idx="20">
                  <c:v>3.11625</c:v>
                </c:pt>
                <c:pt idx="21">
                  <c:v>3.2201250000000003</c:v>
                </c:pt>
                <c:pt idx="22">
                  <c:v>3.3240000000000003</c:v>
                </c:pt>
                <c:pt idx="23">
                  <c:v>3.4278750000000002</c:v>
                </c:pt>
                <c:pt idx="24">
                  <c:v>3.5317500000000002</c:v>
                </c:pt>
                <c:pt idx="25">
                  <c:v>3.6356250000000001</c:v>
                </c:pt>
                <c:pt idx="26">
                  <c:v>3.7395000000000005</c:v>
                </c:pt>
                <c:pt idx="27">
                  <c:v>3.8433750000000004</c:v>
                </c:pt>
                <c:pt idx="28">
                  <c:v>3.9472500000000004</c:v>
                </c:pt>
                <c:pt idx="29">
                  <c:v>4.0511249999999999</c:v>
                </c:pt>
                <c:pt idx="30">
                  <c:v>4.1550000000000002</c:v>
                </c:pt>
                <c:pt idx="31">
                  <c:v>4.2588750000000006</c:v>
                </c:pt>
                <c:pt idx="32">
                  <c:v>4.3627500000000001</c:v>
                </c:pt>
                <c:pt idx="33">
                  <c:v>4.4666250000000005</c:v>
                </c:pt>
              </c:numCache>
            </c:numRef>
          </c:xVal>
          <c:yVal>
            <c:numRef>
              <c:f>Лист1!$AM$6:$AM$39</c:f>
              <c:numCache>
                <c:formatCode>General</c:formatCode>
                <c:ptCount val="3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B4-487F-AACC-08D5796BB343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Лист1!$AN$6:$AN$39</c:f>
              <c:numCache>
                <c:formatCode>General</c:formatCode>
                <c:ptCount val="34"/>
                <c:pt idx="0">
                  <c:v>3.2362459546925564E-2</c:v>
                </c:pt>
                <c:pt idx="1">
                  <c:v>3.5598705501618123E-2</c:v>
                </c:pt>
                <c:pt idx="2">
                  <c:v>3.8834951456310676E-2</c:v>
                </c:pt>
                <c:pt idx="3">
                  <c:v>4.2071197411003236E-2</c:v>
                </c:pt>
                <c:pt idx="4">
                  <c:v>4.5307443365695796E-2</c:v>
                </c:pt>
                <c:pt idx="5">
                  <c:v>4.8543689320388349E-2</c:v>
                </c:pt>
                <c:pt idx="6">
                  <c:v>5.1779935275080909E-2</c:v>
                </c:pt>
                <c:pt idx="7">
                  <c:v>5.5016181229773461E-2</c:v>
                </c:pt>
                <c:pt idx="8">
                  <c:v>5.8252427184466021E-2</c:v>
                </c:pt>
                <c:pt idx="9">
                  <c:v>6.1488673139158574E-2</c:v>
                </c:pt>
                <c:pt idx="10">
                  <c:v>6.4724919093851127E-2</c:v>
                </c:pt>
                <c:pt idx="11">
                  <c:v>6.7961165048543687E-2</c:v>
                </c:pt>
                <c:pt idx="12">
                  <c:v>7.1197411003236247E-2</c:v>
                </c:pt>
                <c:pt idx="13">
                  <c:v>7.4433656957928807E-2</c:v>
                </c:pt>
                <c:pt idx="14">
                  <c:v>7.7669902912621352E-2</c:v>
                </c:pt>
                <c:pt idx="15">
                  <c:v>8.0906148867313912E-2</c:v>
                </c:pt>
                <c:pt idx="16">
                  <c:v>8.4142394822006472E-2</c:v>
                </c:pt>
                <c:pt idx="17">
                  <c:v>8.7378640776699032E-2</c:v>
                </c:pt>
                <c:pt idx="18">
                  <c:v>9.0614886731391592E-2</c:v>
                </c:pt>
                <c:pt idx="19">
                  <c:v>9.3851132686084138E-2</c:v>
                </c:pt>
                <c:pt idx="20">
                  <c:v>9.7087378640776698E-2</c:v>
                </c:pt>
                <c:pt idx="21">
                  <c:v>0.10032362459546926</c:v>
                </c:pt>
                <c:pt idx="22">
                  <c:v>0.10355987055016182</c:v>
                </c:pt>
                <c:pt idx="23">
                  <c:v>0.10679611650485436</c:v>
                </c:pt>
                <c:pt idx="24">
                  <c:v>0.11003236245954692</c:v>
                </c:pt>
                <c:pt idx="25">
                  <c:v>0.11326860841423948</c:v>
                </c:pt>
                <c:pt idx="26">
                  <c:v>0.11650485436893204</c:v>
                </c:pt>
                <c:pt idx="27">
                  <c:v>0.11974110032362459</c:v>
                </c:pt>
                <c:pt idx="28">
                  <c:v>0.12297734627831715</c:v>
                </c:pt>
                <c:pt idx="29">
                  <c:v>0.12621359223300971</c:v>
                </c:pt>
                <c:pt idx="30">
                  <c:v>0.12944983818770225</c:v>
                </c:pt>
                <c:pt idx="31">
                  <c:v>0.13268608414239483</c:v>
                </c:pt>
                <c:pt idx="32">
                  <c:v>0.13592233009708737</c:v>
                </c:pt>
                <c:pt idx="33">
                  <c:v>0.13915857605177995</c:v>
                </c:pt>
              </c:numCache>
            </c:numRef>
          </c:xVal>
          <c:yVal>
            <c:numRef>
              <c:f>Лист1!$AO$6:$AO$39</c:f>
              <c:numCache>
                <c:formatCode>General</c:formatCode>
                <c:ptCount val="3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B4-487F-AACC-08D5796BB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08848"/>
        <c:axId val="1924229264"/>
      </c:scatterChart>
      <c:valAx>
        <c:axId val="1168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1938456159138426"/>
              <c:y val="0.85994705971628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229264"/>
        <c:crosses val="autoZero"/>
        <c:crossBetween val="midCat"/>
      </c:valAx>
      <c:valAx>
        <c:axId val="19242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7604985891224103E-2"/>
              <c:y val="0.15278508290779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0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давления от температуры </a:t>
            </a:r>
            <a:r>
              <a:rPr lang="en-US"/>
              <a:t>p(T)</a:t>
            </a:r>
          </a:p>
        </c:rich>
      </c:tx>
      <c:layout>
        <c:manualLayout>
          <c:xMode val="edge"/>
          <c:yMode val="edge"/>
          <c:x val="0.13763205777979298"/>
          <c:y val="2.8690461174689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Лист1!$AI$6:$AI$39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Лист1!$AK$6:$AK$39</c:f>
              <c:numCache>
                <c:formatCode>General</c:formatCode>
                <c:ptCount val="3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7E-4809-967A-BFBE8E626960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Лист1!$AI$6:$AI$39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Лист1!$AM$6:$AM$39</c:f>
              <c:numCache>
                <c:formatCode>General</c:formatCode>
                <c:ptCount val="34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400</c:v>
                </c:pt>
                <c:pt idx="25">
                  <c:v>400</c:v>
                </c:pt>
                <c:pt idx="26">
                  <c:v>400</c:v>
                </c:pt>
                <c:pt idx="27">
                  <c:v>400</c:v>
                </c:pt>
                <c:pt idx="28">
                  <c:v>400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7E-4809-967A-BFBE8E626960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Лист1!$AI$6:$AI$13</c:f>
              <c:numCache>
                <c:formatCode>General</c:formatCode>
                <c:ptCount val="8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</c:numCache>
            </c:numRef>
          </c:xVal>
          <c:yVal>
            <c:numRef>
              <c:f>Лист1!$AO$6:$AO$24</c:f>
              <c:numCache>
                <c:formatCode>General</c:formatCode>
                <c:ptCount val="19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400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400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7E-4809-967A-BFBE8E62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2320"/>
        <c:axId val="1924105296"/>
      </c:scatterChart>
      <c:valAx>
        <c:axId val="11778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1503705217243081"/>
              <c:y val="0.87020159048833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105296"/>
        <c:crosses val="autoZero"/>
        <c:crossBetween val="midCat"/>
      </c:valAx>
      <c:valAx>
        <c:axId val="19241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7671394979873164E-2"/>
              <c:y val="0.13522462303059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82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объема от температуры </a:t>
            </a:r>
            <a:r>
              <a:rPr lang="en-US" sz="1400" b="0" i="0" baseline="0">
                <a:effectLst/>
              </a:rPr>
              <a:t>V(T)</a:t>
            </a:r>
            <a:endParaRPr lang="ru-RU" sz="1400">
              <a:effectLst/>
            </a:endParaRPr>
          </a:p>
        </c:rich>
      </c:tx>
      <c:layout>
        <c:manualLayout>
          <c:xMode val="edge"/>
          <c:yMode val="edge"/>
          <c:x val="0.15241855460473194"/>
          <c:y val="2.8690461174689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Лист1!$AI$6:$AI$39</c:f>
              <c:numCache>
                <c:formatCode>General</c:formatCode>
                <c:ptCount val="34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  <c:pt idx="33">
                  <c:v>215</c:v>
                </c:pt>
              </c:numCache>
            </c:numRef>
          </c:xVal>
          <c:yVal>
            <c:numRef>
              <c:f>Лист1!$AJ$6:$AJ$39</c:f>
              <c:numCache>
                <c:formatCode>General</c:formatCode>
                <c:ptCount val="34"/>
                <c:pt idx="0">
                  <c:v>1.0387500000000001</c:v>
                </c:pt>
                <c:pt idx="1">
                  <c:v>1.142625</c:v>
                </c:pt>
                <c:pt idx="2">
                  <c:v>1.2465000000000002</c:v>
                </c:pt>
                <c:pt idx="3">
                  <c:v>1.3503749999999999</c:v>
                </c:pt>
                <c:pt idx="4">
                  <c:v>1.45425</c:v>
                </c:pt>
                <c:pt idx="5">
                  <c:v>1.558125</c:v>
                </c:pt>
                <c:pt idx="6">
                  <c:v>1.6620000000000001</c:v>
                </c:pt>
                <c:pt idx="7">
                  <c:v>1.7658750000000001</c:v>
                </c:pt>
                <c:pt idx="8">
                  <c:v>1.8697500000000002</c:v>
                </c:pt>
                <c:pt idx="9">
                  <c:v>1.9736250000000002</c:v>
                </c:pt>
                <c:pt idx="10">
                  <c:v>2.0775000000000001</c:v>
                </c:pt>
                <c:pt idx="11">
                  <c:v>2.1813750000000001</c:v>
                </c:pt>
                <c:pt idx="12">
                  <c:v>2.28525</c:v>
                </c:pt>
                <c:pt idx="13">
                  <c:v>2.3891250000000004</c:v>
                </c:pt>
                <c:pt idx="14">
                  <c:v>2.4930000000000003</c:v>
                </c:pt>
                <c:pt idx="15">
                  <c:v>2.5968749999999998</c:v>
                </c:pt>
                <c:pt idx="16">
                  <c:v>2.7007499999999998</c:v>
                </c:pt>
                <c:pt idx="17">
                  <c:v>2.8046250000000001</c:v>
                </c:pt>
                <c:pt idx="18">
                  <c:v>2.9085000000000001</c:v>
                </c:pt>
                <c:pt idx="19">
                  <c:v>3.012375</c:v>
                </c:pt>
                <c:pt idx="20">
                  <c:v>3.11625</c:v>
                </c:pt>
                <c:pt idx="21">
                  <c:v>3.2201250000000003</c:v>
                </c:pt>
                <c:pt idx="22">
                  <c:v>3.3240000000000003</c:v>
                </c:pt>
                <c:pt idx="23">
                  <c:v>3.4278750000000002</c:v>
                </c:pt>
                <c:pt idx="24">
                  <c:v>3.5317500000000002</c:v>
                </c:pt>
                <c:pt idx="25">
                  <c:v>3.6356250000000001</c:v>
                </c:pt>
                <c:pt idx="26">
                  <c:v>3.7395000000000005</c:v>
                </c:pt>
                <c:pt idx="27">
                  <c:v>3.8433750000000004</c:v>
                </c:pt>
                <c:pt idx="28">
                  <c:v>3.9472500000000004</c:v>
                </c:pt>
                <c:pt idx="29">
                  <c:v>4.0511249999999999</c:v>
                </c:pt>
                <c:pt idx="30">
                  <c:v>4.1550000000000002</c:v>
                </c:pt>
                <c:pt idx="31">
                  <c:v>4.2588750000000006</c:v>
                </c:pt>
                <c:pt idx="32">
                  <c:v>4.3627500000000001</c:v>
                </c:pt>
                <c:pt idx="33">
                  <c:v>4.4666250000000005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B2-41CA-8BBE-EC808469713E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Лист1!$AI$6:$AI$38</c:f>
              <c:numCache>
                <c:formatCode>General</c:formatCode>
                <c:ptCount val="33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170</c:v>
                </c:pt>
                <c:pt idx="25">
                  <c:v>175</c:v>
                </c:pt>
                <c:pt idx="26">
                  <c:v>180</c:v>
                </c:pt>
                <c:pt idx="27">
                  <c:v>185</c:v>
                </c:pt>
                <c:pt idx="28">
                  <c:v>190</c:v>
                </c:pt>
                <c:pt idx="29">
                  <c:v>195</c:v>
                </c:pt>
                <c:pt idx="30">
                  <c:v>200</c:v>
                </c:pt>
                <c:pt idx="31">
                  <c:v>205</c:v>
                </c:pt>
                <c:pt idx="32">
                  <c:v>210</c:v>
                </c:pt>
              </c:numCache>
            </c:numRef>
          </c:xVal>
          <c:yVal>
            <c:numRef>
              <c:f>Лист1!$AL$6:$AL$35</c:f>
              <c:numCache>
                <c:formatCode>General</c:formatCode>
                <c:ptCount val="30"/>
                <c:pt idx="0">
                  <c:v>1.0387500000000001</c:v>
                </c:pt>
                <c:pt idx="1">
                  <c:v>1.142625</c:v>
                </c:pt>
                <c:pt idx="2">
                  <c:v>1.2465000000000002</c:v>
                </c:pt>
                <c:pt idx="3">
                  <c:v>1.3503749999999999</c:v>
                </c:pt>
                <c:pt idx="4">
                  <c:v>1.45425</c:v>
                </c:pt>
                <c:pt idx="5">
                  <c:v>1.558125</c:v>
                </c:pt>
                <c:pt idx="6">
                  <c:v>1.6620000000000001</c:v>
                </c:pt>
                <c:pt idx="7">
                  <c:v>1.7658750000000001</c:v>
                </c:pt>
                <c:pt idx="8">
                  <c:v>1.8697500000000002</c:v>
                </c:pt>
                <c:pt idx="9">
                  <c:v>1.9736250000000002</c:v>
                </c:pt>
                <c:pt idx="10">
                  <c:v>2.0775000000000001</c:v>
                </c:pt>
                <c:pt idx="11">
                  <c:v>2.1813750000000001</c:v>
                </c:pt>
                <c:pt idx="12">
                  <c:v>2.28525</c:v>
                </c:pt>
                <c:pt idx="13">
                  <c:v>2.3891250000000004</c:v>
                </c:pt>
                <c:pt idx="14">
                  <c:v>2.4930000000000003</c:v>
                </c:pt>
                <c:pt idx="15">
                  <c:v>2.5968749999999998</c:v>
                </c:pt>
                <c:pt idx="16">
                  <c:v>2.7007499999999998</c:v>
                </c:pt>
                <c:pt idx="17">
                  <c:v>2.8046250000000001</c:v>
                </c:pt>
                <c:pt idx="18">
                  <c:v>2.9085000000000001</c:v>
                </c:pt>
                <c:pt idx="19">
                  <c:v>3.012375</c:v>
                </c:pt>
                <c:pt idx="20">
                  <c:v>3.11625</c:v>
                </c:pt>
                <c:pt idx="21">
                  <c:v>3.2201250000000003</c:v>
                </c:pt>
                <c:pt idx="22">
                  <c:v>3.3240000000000003</c:v>
                </c:pt>
                <c:pt idx="23">
                  <c:v>3.4278750000000002</c:v>
                </c:pt>
                <c:pt idx="24">
                  <c:v>3.5317500000000002</c:v>
                </c:pt>
                <c:pt idx="25">
                  <c:v>3.6356250000000001</c:v>
                </c:pt>
                <c:pt idx="26">
                  <c:v>3.7395000000000005</c:v>
                </c:pt>
                <c:pt idx="27">
                  <c:v>3.8433750000000004</c:v>
                </c:pt>
                <c:pt idx="28">
                  <c:v>3.9472500000000004</c:v>
                </c:pt>
                <c:pt idx="29">
                  <c:v>4.0511249999999999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B2-41CA-8BBE-EC808469713E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Лист1!$AI$6:$AI$27</c:f>
              <c:numCache>
                <c:formatCode>General</c:formatCode>
                <c:ptCount val="22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  <c:pt idx="11">
                  <c:v>105</c:v>
                </c:pt>
                <c:pt idx="12">
                  <c:v>110</c:v>
                </c:pt>
                <c:pt idx="13">
                  <c:v>115</c:v>
                </c:pt>
                <c:pt idx="14">
                  <c:v>120</c:v>
                </c:pt>
                <c:pt idx="15">
                  <c:v>125</c:v>
                </c:pt>
                <c:pt idx="16">
                  <c:v>130</c:v>
                </c:pt>
                <c:pt idx="17">
                  <c:v>135</c:v>
                </c:pt>
                <c:pt idx="18">
                  <c:v>140</c:v>
                </c:pt>
                <c:pt idx="19">
                  <c:v>145</c:v>
                </c:pt>
                <c:pt idx="20">
                  <c:v>150</c:v>
                </c:pt>
                <c:pt idx="21">
                  <c:v>155</c:v>
                </c:pt>
              </c:numCache>
            </c:numRef>
          </c:xVal>
          <c:yVal>
            <c:numRef>
              <c:f>Лист1!$AN$6:$AN$23</c:f>
              <c:numCache>
                <c:formatCode>General</c:formatCode>
                <c:ptCount val="18"/>
                <c:pt idx="0">
                  <c:v>3.2362459546925564E-2</c:v>
                </c:pt>
                <c:pt idx="1">
                  <c:v>3.5598705501618123E-2</c:v>
                </c:pt>
                <c:pt idx="2">
                  <c:v>3.8834951456310676E-2</c:v>
                </c:pt>
                <c:pt idx="3">
                  <c:v>4.2071197411003236E-2</c:v>
                </c:pt>
                <c:pt idx="4">
                  <c:v>4.5307443365695796E-2</c:v>
                </c:pt>
                <c:pt idx="5">
                  <c:v>4.8543689320388349E-2</c:v>
                </c:pt>
                <c:pt idx="6">
                  <c:v>5.1779935275080909E-2</c:v>
                </c:pt>
                <c:pt idx="7">
                  <c:v>5.5016181229773461E-2</c:v>
                </c:pt>
                <c:pt idx="8">
                  <c:v>5.8252427184466021E-2</c:v>
                </c:pt>
                <c:pt idx="9">
                  <c:v>6.1488673139158574E-2</c:v>
                </c:pt>
                <c:pt idx="10">
                  <c:v>6.4724919093851127E-2</c:v>
                </c:pt>
                <c:pt idx="11">
                  <c:v>6.7961165048543687E-2</c:v>
                </c:pt>
                <c:pt idx="12">
                  <c:v>7.1197411003236247E-2</c:v>
                </c:pt>
                <c:pt idx="13">
                  <c:v>7.4433656957928807E-2</c:v>
                </c:pt>
                <c:pt idx="14">
                  <c:v>7.7669902912621352E-2</c:v>
                </c:pt>
                <c:pt idx="15">
                  <c:v>8.0906148867313912E-2</c:v>
                </c:pt>
                <c:pt idx="16">
                  <c:v>8.4142394822006472E-2</c:v>
                </c:pt>
                <c:pt idx="17">
                  <c:v>8.7378640776699032E-2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B2-41CA-8BBE-EC8084697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493168"/>
        <c:axId val="1924129008"/>
      </c:scatterChart>
      <c:valAx>
        <c:axId val="10349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0787631784419121"/>
              <c:y val="0.870522150053840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129008"/>
        <c:crosses val="autoZero"/>
        <c:crossBetween val="midCat"/>
      </c:valAx>
      <c:valAx>
        <c:axId val="192412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9379421720814482E-2"/>
              <c:y val="0.1404583489957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49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давления от объема </a:t>
            </a:r>
            <a:r>
              <a:rPr lang="en-US" sz="1400" b="0" i="0" baseline="0">
                <a:effectLst/>
              </a:rPr>
              <a:t>p(V)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водород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Лист1!$BT$6:$BT$39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</c:numCache>
            </c:numRef>
          </c:xVal>
          <c:yVal>
            <c:numRef>
              <c:f>Лист1!$BU$6:$BU$39</c:f>
              <c:numCache>
                <c:formatCode>General</c:formatCode>
                <c:ptCount val="34"/>
                <c:pt idx="0">
                  <c:v>8.31</c:v>
                </c:pt>
                <c:pt idx="1">
                  <c:v>9.141</c:v>
                </c:pt>
                <c:pt idx="2">
                  <c:v>9.9720000000000013</c:v>
                </c:pt>
                <c:pt idx="3">
                  <c:v>10.802999999999999</c:v>
                </c:pt>
                <c:pt idx="4">
                  <c:v>11.634</c:v>
                </c:pt>
                <c:pt idx="5">
                  <c:v>12.465</c:v>
                </c:pt>
                <c:pt idx="6">
                  <c:v>13.296000000000001</c:v>
                </c:pt>
                <c:pt idx="7">
                  <c:v>14.127000000000001</c:v>
                </c:pt>
                <c:pt idx="8">
                  <c:v>14.958000000000002</c:v>
                </c:pt>
                <c:pt idx="9">
                  <c:v>15.789000000000001</c:v>
                </c:pt>
                <c:pt idx="10">
                  <c:v>16.62</c:v>
                </c:pt>
                <c:pt idx="11">
                  <c:v>17.451000000000001</c:v>
                </c:pt>
                <c:pt idx="12">
                  <c:v>18.282</c:v>
                </c:pt>
                <c:pt idx="13">
                  <c:v>19.113000000000003</c:v>
                </c:pt>
                <c:pt idx="14">
                  <c:v>19.944000000000003</c:v>
                </c:pt>
                <c:pt idx="15">
                  <c:v>20.774999999999999</c:v>
                </c:pt>
                <c:pt idx="16">
                  <c:v>21.605999999999998</c:v>
                </c:pt>
                <c:pt idx="17">
                  <c:v>22.437000000000001</c:v>
                </c:pt>
                <c:pt idx="18">
                  <c:v>23.268000000000001</c:v>
                </c:pt>
                <c:pt idx="19">
                  <c:v>24.099</c:v>
                </c:pt>
                <c:pt idx="20">
                  <c:v>24.93</c:v>
                </c:pt>
                <c:pt idx="21">
                  <c:v>25.761000000000003</c:v>
                </c:pt>
                <c:pt idx="22">
                  <c:v>26.592000000000002</c:v>
                </c:pt>
                <c:pt idx="23">
                  <c:v>27.423000000000002</c:v>
                </c:pt>
                <c:pt idx="24">
                  <c:v>28.254000000000001</c:v>
                </c:pt>
                <c:pt idx="25">
                  <c:v>29.085000000000001</c:v>
                </c:pt>
                <c:pt idx="26">
                  <c:v>29.916000000000004</c:v>
                </c:pt>
                <c:pt idx="27">
                  <c:v>30.747000000000003</c:v>
                </c:pt>
                <c:pt idx="28">
                  <c:v>31.578000000000003</c:v>
                </c:pt>
                <c:pt idx="29">
                  <c:v>32.408999999999999</c:v>
                </c:pt>
                <c:pt idx="30">
                  <c:v>33.24</c:v>
                </c:pt>
                <c:pt idx="31">
                  <c:v>34.071000000000005</c:v>
                </c:pt>
                <c:pt idx="32">
                  <c:v>34.902000000000001</c:v>
                </c:pt>
                <c:pt idx="33">
                  <c:v>35.733000000000004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E6-4185-8E79-7DA99E349CF2}"/>
            </c:ext>
          </c:extLst>
        </c:ser>
        <c:ser>
          <c:idx val="1"/>
          <c:order val="1"/>
          <c:tx>
            <c:v>кислород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Лист1!$BV$6:$BV$32</c:f>
              <c:numCache>
                <c:formatCode>General</c:formatCode>
                <c:ptCount val="27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</c:numCache>
            </c:numRef>
          </c:xVal>
          <c:yVal>
            <c:numRef>
              <c:f>Лист1!$BW$6:$BW$33</c:f>
              <c:numCache>
                <c:formatCode>General</c:formatCode>
                <c:ptCount val="28"/>
                <c:pt idx="0">
                  <c:v>8.31</c:v>
                </c:pt>
                <c:pt idx="1">
                  <c:v>9.141</c:v>
                </c:pt>
                <c:pt idx="2">
                  <c:v>9.9720000000000013</c:v>
                </c:pt>
                <c:pt idx="3">
                  <c:v>10.802999999999999</c:v>
                </c:pt>
                <c:pt idx="4">
                  <c:v>11.634</c:v>
                </c:pt>
                <c:pt idx="5">
                  <c:v>12.465</c:v>
                </c:pt>
                <c:pt idx="6">
                  <c:v>13.296000000000001</c:v>
                </c:pt>
                <c:pt idx="7">
                  <c:v>14.127000000000001</c:v>
                </c:pt>
                <c:pt idx="8">
                  <c:v>14.958000000000002</c:v>
                </c:pt>
                <c:pt idx="9">
                  <c:v>15.789000000000001</c:v>
                </c:pt>
                <c:pt idx="10">
                  <c:v>16.62</c:v>
                </c:pt>
                <c:pt idx="11">
                  <c:v>17.451000000000001</c:v>
                </c:pt>
                <c:pt idx="12">
                  <c:v>18.282</c:v>
                </c:pt>
                <c:pt idx="13">
                  <c:v>19.113000000000003</c:v>
                </c:pt>
                <c:pt idx="14">
                  <c:v>19.944000000000003</c:v>
                </c:pt>
                <c:pt idx="15">
                  <c:v>20.774999999999999</c:v>
                </c:pt>
                <c:pt idx="16">
                  <c:v>21.605999999999998</c:v>
                </c:pt>
                <c:pt idx="17">
                  <c:v>22.437000000000001</c:v>
                </c:pt>
                <c:pt idx="18">
                  <c:v>23.268000000000001</c:v>
                </c:pt>
                <c:pt idx="19">
                  <c:v>24.099</c:v>
                </c:pt>
                <c:pt idx="20">
                  <c:v>24.93</c:v>
                </c:pt>
                <c:pt idx="21">
                  <c:v>25.761000000000003</c:v>
                </c:pt>
                <c:pt idx="22">
                  <c:v>26.592000000000002</c:v>
                </c:pt>
                <c:pt idx="23">
                  <c:v>27.423000000000002</c:v>
                </c:pt>
                <c:pt idx="24">
                  <c:v>28.254000000000001</c:v>
                </c:pt>
                <c:pt idx="25">
                  <c:v>29.085000000000001</c:v>
                </c:pt>
                <c:pt idx="26">
                  <c:v>29.916000000000004</c:v>
                </c:pt>
                <c:pt idx="27">
                  <c:v>30.747000000000003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E6-4185-8E79-7DA99E349CF2}"/>
            </c:ext>
          </c:extLst>
        </c:ser>
        <c:ser>
          <c:idx val="2"/>
          <c:order val="2"/>
          <c:tx>
            <c:v>углерод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Лист1!$BX$6:$BX$33</c:f>
              <c:numCache>
                <c:formatCode>General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xVal>
          <c:yVal>
            <c:numRef>
              <c:f>Лист1!$BY$6:$BY$39</c:f>
              <c:numCache>
                <c:formatCode>General</c:formatCode>
                <c:ptCount val="34"/>
                <c:pt idx="0">
                  <c:v>1.0757281553398059</c:v>
                </c:pt>
                <c:pt idx="1">
                  <c:v>1.1833009708737865</c:v>
                </c:pt>
                <c:pt idx="2">
                  <c:v>1.2908737864077668</c:v>
                </c:pt>
                <c:pt idx="3">
                  <c:v>1.3984466019417476</c:v>
                </c:pt>
                <c:pt idx="4">
                  <c:v>1.506019417475728</c:v>
                </c:pt>
                <c:pt idx="5">
                  <c:v>1.6135922330097088</c:v>
                </c:pt>
                <c:pt idx="6">
                  <c:v>1.7211650485436893</c:v>
                </c:pt>
                <c:pt idx="7">
                  <c:v>1.8287378640776701</c:v>
                </c:pt>
                <c:pt idx="8">
                  <c:v>1.9363106796116503</c:v>
                </c:pt>
                <c:pt idx="9">
                  <c:v>2.0438834951456308</c:v>
                </c:pt>
                <c:pt idx="10">
                  <c:v>2.1514563106796118</c:v>
                </c:pt>
                <c:pt idx="11">
                  <c:v>2.2590291262135924</c:v>
                </c:pt>
                <c:pt idx="12">
                  <c:v>2.366601941747573</c:v>
                </c:pt>
                <c:pt idx="13">
                  <c:v>2.4741747572815531</c:v>
                </c:pt>
                <c:pt idx="14">
                  <c:v>2.5817475728155337</c:v>
                </c:pt>
                <c:pt idx="15">
                  <c:v>2.6893203883495147</c:v>
                </c:pt>
                <c:pt idx="16">
                  <c:v>2.7968932038834953</c:v>
                </c:pt>
                <c:pt idx="17">
                  <c:v>2.9044660194174758</c:v>
                </c:pt>
                <c:pt idx="18">
                  <c:v>3.012038834951456</c:v>
                </c:pt>
                <c:pt idx="19">
                  <c:v>3.119611650485437</c:v>
                </c:pt>
                <c:pt idx="20">
                  <c:v>3.2271844660194176</c:v>
                </c:pt>
                <c:pt idx="21">
                  <c:v>3.3347572815533981</c:v>
                </c:pt>
                <c:pt idx="22">
                  <c:v>3.4423300970873787</c:v>
                </c:pt>
                <c:pt idx="23">
                  <c:v>3.5499029126213593</c:v>
                </c:pt>
                <c:pt idx="24">
                  <c:v>3.6574757281553403</c:v>
                </c:pt>
                <c:pt idx="25">
                  <c:v>3.7650485436893204</c:v>
                </c:pt>
                <c:pt idx="26">
                  <c:v>3.8726213592233005</c:v>
                </c:pt>
                <c:pt idx="27">
                  <c:v>3.9801941747572815</c:v>
                </c:pt>
                <c:pt idx="28">
                  <c:v>4.0877669902912617</c:v>
                </c:pt>
                <c:pt idx="29">
                  <c:v>4.1953398058252427</c:v>
                </c:pt>
                <c:pt idx="30">
                  <c:v>4.3029126213592237</c:v>
                </c:pt>
                <c:pt idx="31">
                  <c:v>4.4104854368932038</c:v>
                </c:pt>
                <c:pt idx="32">
                  <c:v>4.5180582524271848</c:v>
                </c:pt>
                <c:pt idx="33">
                  <c:v>4.625631067961165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E6-4185-8E79-7DA99E34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744928"/>
        <c:axId val="500198000"/>
      </c:scatterChart>
      <c:valAx>
        <c:axId val="79474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0299592395911754"/>
              <c:y val="0.862375989068116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198000"/>
        <c:crosses val="autoZero"/>
        <c:crossBetween val="midCat"/>
      </c:valAx>
      <c:valAx>
        <c:axId val="5001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756244616709733E-2"/>
              <c:y val="0.12779057025654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74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1837</xdr:colOff>
      <xdr:row>2</xdr:row>
      <xdr:rowOff>2997</xdr:rowOff>
    </xdr:from>
    <xdr:to>
      <xdr:col>91</xdr:col>
      <xdr:colOff>9525</xdr:colOff>
      <xdr:row>26</xdr:row>
      <xdr:rowOff>161924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2A9A0E76-9BFB-4821-89D0-FD39C3B78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92</xdr:col>
      <xdr:colOff>21770</xdr:colOff>
      <xdr:row>1</xdr:row>
      <xdr:rowOff>178426</xdr:rowOff>
    </xdr:from>
    <xdr:to>
      <xdr:col>97</xdr:col>
      <xdr:colOff>600075</xdr:colOff>
      <xdr:row>26</xdr:row>
      <xdr:rowOff>171450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0976924-BEBE-4328-B51F-E1F88E13E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606016</xdr:colOff>
      <xdr:row>1</xdr:row>
      <xdr:rowOff>172066</xdr:rowOff>
    </xdr:from>
    <xdr:to>
      <xdr:col>15</xdr:col>
      <xdr:colOff>0</xdr:colOff>
      <xdr:row>27</xdr:row>
      <xdr:rowOff>6850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7E7F614-31CE-43A5-9ED0-FA3057D8F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606542</xdr:colOff>
      <xdr:row>2</xdr:row>
      <xdr:rowOff>28011</xdr:rowOff>
    </xdr:from>
    <xdr:to>
      <xdr:col>21</xdr:col>
      <xdr:colOff>599326</xdr:colOff>
      <xdr:row>26</xdr:row>
      <xdr:rowOff>171236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9947C93-BDF0-4BE5-8F6C-E4D4A5C54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9294</xdr:colOff>
      <xdr:row>1</xdr:row>
      <xdr:rowOff>178085</xdr:rowOff>
    </xdr:from>
    <xdr:to>
      <xdr:col>29</xdr:col>
      <xdr:colOff>0</xdr:colOff>
      <xdr:row>27</xdr:row>
      <xdr:rowOff>8562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8D75F3F-88DA-486A-83B1-502651738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605912</xdr:colOff>
      <xdr:row>2</xdr:row>
      <xdr:rowOff>5862</xdr:rowOff>
    </xdr:from>
    <xdr:to>
      <xdr:col>48</xdr:col>
      <xdr:colOff>0</xdr:colOff>
      <xdr:row>26</xdr:row>
      <xdr:rowOff>171236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AFD57B5-8823-48AF-8625-1063B7BD1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5379</xdr:colOff>
      <xdr:row>1</xdr:row>
      <xdr:rowOff>175672</xdr:rowOff>
    </xdr:from>
    <xdr:to>
      <xdr:col>55</xdr:col>
      <xdr:colOff>8563</xdr:colOff>
      <xdr:row>27</xdr:row>
      <xdr:rowOff>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F5D88874-2EA0-432E-8FB4-5A62C7D31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3621</xdr:colOff>
      <xdr:row>1</xdr:row>
      <xdr:rowOff>175780</xdr:rowOff>
    </xdr:from>
    <xdr:to>
      <xdr:col>62</xdr:col>
      <xdr:colOff>0</xdr:colOff>
      <xdr:row>26</xdr:row>
      <xdr:rowOff>171236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57066A2-7938-48D6-B8A6-BA69D734A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78</xdr:col>
      <xdr:colOff>0</xdr:colOff>
      <xdr:row>1</xdr:row>
      <xdr:rowOff>166687</xdr:rowOff>
    </xdr:from>
    <xdr:to>
      <xdr:col>84</xdr:col>
      <xdr:colOff>28575</xdr:colOff>
      <xdr:row>26</xdr:row>
      <xdr:rowOff>171449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735C06B4-A025-4E83-B945-060593B2F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74E8-A92D-495B-B72C-FACFE656534A}">
  <dimension ref="A1:BY39"/>
  <sheetViews>
    <sheetView tabSelected="1" zoomScale="80" zoomScaleNormal="80" workbookViewId="0">
      <selection activeCell="BK25" sqref="BK25"/>
    </sheetView>
  </sheetViews>
  <sheetFormatPr defaultRowHeight="14.4" x14ac:dyDescent="0.3"/>
  <cols>
    <col min="3" max="3" width="12.33203125" customWidth="1"/>
    <col min="4" max="4" width="11.44140625" customWidth="1"/>
    <col min="5" max="5" width="12.21875" customWidth="1"/>
    <col min="6" max="6" width="11.77734375" customWidth="1"/>
    <col min="7" max="7" width="12.44140625" customWidth="1"/>
    <col min="8" max="8" width="11.77734375" customWidth="1"/>
    <col min="36" max="36" width="13.33203125" customWidth="1"/>
    <col min="37" max="38" width="12.77734375" customWidth="1"/>
    <col min="39" max="39" width="12.33203125" customWidth="1"/>
    <col min="40" max="40" width="12.77734375" customWidth="1"/>
    <col min="41" max="41" width="12.5546875" customWidth="1"/>
    <col min="72" max="72" width="11.6640625" customWidth="1"/>
    <col min="73" max="73" width="12.109375" customWidth="1"/>
    <col min="74" max="74" width="14" customWidth="1"/>
    <col min="75" max="75" width="12.5546875" customWidth="1"/>
    <col min="76" max="76" width="11.21875" customWidth="1"/>
    <col min="77" max="77" width="11.5546875" customWidth="1"/>
  </cols>
  <sheetData>
    <row r="1" spans="1:77" ht="18" x14ac:dyDescent="0.35">
      <c r="A1" s="7" t="s">
        <v>4</v>
      </c>
      <c r="B1" s="8"/>
      <c r="C1" s="8"/>
      <c r="D1" s="8"/>
      <c r="R1" s="2"/>
      <c r="AH1" s="3" t="s">
        <v>5</v>
      </c>
      <c r="AI1" s="1"/>
      <c r="AJ1" s="1"/>
      <c r="AK1" s="1"/>
      <c r="BS1" s="3" t="s">
        <v>6</v>
      </c>
      <c r="BT1" s="3"/>
      <c r="BU1" s="3"/>
    </row>
    <row r="3" spans="1:77" x14ac:dyDescent="0.3">
      <c r="A3" s="4" t="s">
        <v>7</v>
      </c>
      <c r="B3" s="4" t="s">
        <v>0</v>
      </c>
      <c r="C3" s="4" t="s">
        <v>8</v>
      </c>
      <c r="D3" s="4" t="s">
        <v>17</v>
      </c>
      <c r="E3" s="4" t="s">
        <v>9</v>
      </c>
      <c r="F3" s="4" t="s">
        <v>18</v>
      </c>
      <c r="G3" s="4" t="s">
        <v>10</v>
      </c>
      <c r="H3" s="4" t="s">
        <v>19</v>
      </c>
      <c r="AH3" s="4" t="s">
        <v>7</v>
      </c>
      <c r="AI3" s="4" t="s">
        <v>3</v>
      </c>
      <c r="AJ3" s="4" t="s">
        <v>8</v>
      </c>
      <c r="AK3" s="4" t="s">
        <v>17</v>
      </c>
      <c r="AL3" s="4" t="s">
        <v>9</v>
      </c>
      <c r="AM3" s="4" t="s">
        <v>18</v>
      </c>
      <c r="AN3" s="4" t="s">
        <v>10</v>
      </c>
      <c r="AO3" s="4" t="s">
        <v>19</v>
      </c>
      <c r="BR3" s="4" t="s">
        <v>7</v>
      </c>
      <c r="BS3" s="4" t="s">
        <v>1</v>
      </c>
      <c r="BT3" s="4" t="s">
        <v>8</v>
      </c>
      <c r="BU3" s="4" t="s">
        <v>17</v>
      </c>
      <c r="BV3" s="4" t="s">
        <v>9</v>
      </c>
      <c r="BW3" s="4" t="s">
        <v>18</v>
      </c>
      <c r="BX3" s="4" t="s">
        <v>10</v>
      </c>
      <c r="BY3" s="4" t="s">
        <v>19</v>
      </c>
    </row>
    <row r="4" spans="1:77" x14ac:dyDescent="0.3">
      <c r="A4" s="5">
        <v>8.31</v>
      </c>
      <c r="B4" s="5">
        <v>50</v>
      </c>
      <c r="C4" s="5">
        <v>2</v>
      </c>
      <c r="D4" s="5">
        <v>2</v>
      </c>
      <c r="E4" s="5">
        <v>32</v>
      </c>
      <c r="F4" s="5">
        <v>32</v>
      </c>
      <c r="G4" s="5">
        <v>12</v>
      </c>
      <c r="H4" s="5">
        <v>92.7</v>
      </c>
      <c r="AH4" s="5">
        <v>8.31</v>
      </c>
      <c r="AI4" s="5">
        <v>400</v>
      </c>
      <c r="AJ4" s="5">
        <v>2</v>
      </c>
      <c r="AK4" s="5">
        <v>2</v>
      </c>
      <c r="AL4" s="5">
        <v>32</v>
      </c>
      <c r="AM4" s="5">
        <v>32</v>
      </c>
      <c r="AN4" s="5">
        <v>12</v>
      </c>
      <c r="AO4" s="5">
        <v>92.7</v>
      </c>
      <c r="BR4" s="5">
        <v>8.31</v>
      </c>
      <c r="BS4" s="5">
        <v>50</v>
      </c>
      <c r="BT4" s="5">
        <v>2</v>
      </c>
      <c r="BU4" s="5">
        <v>2</v>
      </c>
      <c r="BV4" s="5">
        <v>32</v>
      </c>
      <c r="BW4" s="5">
        <v>32</v>
      </c>
      <c r="BX4" s="5">
        <v>12</v>
      </c>
      <c r="BY4" s="5">
        <v>92.7</v>
      </c>
    </row>
    <row r="5" spans="1:77" x14ac:dyDescent="0.3">
      <c r="B5" s="6" t="s">
        <v>2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AI5" s="6" t="s">
        <v>2</v>
      </c>
      <c r="AJ5" s="6" t="s">
        <v>11</v>
      </c>
      <c r="AK5" s="6" t="s">
        <v>12</v>
      </c>
      <c r="AL5" s="6" t="s">
        <v>13</v>
      </c>
      <c r="AM5" s="6" t="s">
        <v>14</v>
      </c>
      <c r="AN5" s="6" t="s">
        <v>15</v>
      </c>
      <c r="AO5" s="6" t="s">
        <v>16</v>
      </c>
      <c r="BS5" s="6" t="s">
        <v>2</v>
      </c>
      <c r="BT5" s="6" t="s">
        <v>11</v>
      </c>
      <c r="BU5" s="6" t="s">
        <v>12</v>
      </c>
      <c r="BV5" s="4" t="s">
        <v>13</v>
      </c>
      <c r="BW5" s="4" t="s">
        <v>14</v>
      </c>
      <c r="BX5" s="4" t="s">
        <v>15</v>
      </c>
      <c r="BY5" s="4" t="s">
        <v>16</v>
      </c>
    </row>
    <row r="6" spans="1:77" x14ac:dyDescent="0.3">
      <c r="B6" s="5">
        <f>$B$4</f>
        <v>50</v>
      </c>
      <c r="C6" s="5">
        <v>5</v>
      </c>
      <c r="D6" s="5">
        <f>($C$4*$A$4*B6)/($D$4*C6)</f>
        <v>83.1</v>
      </c>
      <c r="E6" s="5">
        <v>5</v>
      </c>
      <c r="F6" s="5">
        <f>($E$4*$A$4*B6)/($F$4*E6)</f>
        <v>83.1</v>
      </c>
      <c r="G6" s="5">
        <v>5</v>
      </c>
      <c r="H6" s="5">
        <f>($G$4*$A$4*B6)/($H$4*G6)</f>
        <v>10.757281553398059</v>
      </c>
      <c r="AI6" s="5">
        <v>50</v>
      </c>
      <c r="AJ6" s="5">
        <f t="shared" ref="AJ6:AJ39" si="0">($AJ$4*$AH$4*AI6)/($AK$4*AK6)</f>
        <v>1.0387500000000001</v>
      </c>
      <c r="AK6" s="5">
        <f t="shared" ref="AK6:AK39" si="1">$AI$4</f>
        <v>400</v>
      </c>
      <c r="AL6">
        <f t="shared" ref="AL6:AL39" si="2">($AL$4*$AH$4*AI6)/($AM$4*AM6)</f>
        <v>1.0387500000000001</v>
      </c>
      <c r="AM6">
        <f t="shared" ref="AM6:AM39" si="3">$AI$4</f>
        <v>400</v>
      </c>
      <c r="AN6">
        <f t="shared" ref="AN6:AN39" si="4">($AJ$4*$AN$4*AI6)/($AO$4*AO6)</f>
        <v>3.2362459546925564E-2</v>
      </c>
      <c r="AO6">
        <f t="shared" ref="AO6:AO39" si="5">$AI$4</f>
        <v>400</v>
      </c>
      <c r="BS6" s="5">
        <v>50</v>
      </c>
      <c r="BT6" s="5">
        <f>$BS$4</f>
        <v>50</v>
      </c>
      <c r="BU6" s="5">
        <f>($BT$4*$BR$4*BS6)/(BT6*$BU$4)</f>
        <v>8.31</v>
      </c>
      <c r="BV6" s="5">
        <f>$BS$4</f>
        <v>50</v>
      </c>
      <c r="BW6" s="5">
        <f>($BV$4*$BR$4*BS6)/(BV6*$BW$4)</f>
        <v>8.31</v>
      </c>
      <c r="BX6" s="5">
        <f>$BS$4</f>
        <v>50</v>
      </c>
      <c r="BY6" s="5">
        <f>($BX$4*$BR$4*BS6)/(BX6*$BY$4)</f>
        <v>1.0757281553398059</v>
      </c>
    </row>
    <row r="7" spans="1:77" x14ac:dyDescent="0.3">
      <c r="B7" s="5">
        <f t="shared" ref="B7:B39" si="6">$B$4</f>
        <v>50</v>
      </c>
      <c r="C7" s="5">
        <v>6</v>
      </c>
      <c r="D7" s="5">
        <f t="shared" ref="D7:D39" si="7">($C$4*$A$4*B7)/($D$4*C7)</f>
        <v>69.25</v>
      </c>
      <c r="E7" s="5">
        <v>6</v>
      </c>
      <c r="F7" s="5">
        <f t="shared" ref="F7:F39" si="8">($E$4*$A$4*B7)/($F$4*E7)</f>
        <v>69.25</v>
      </c>
      <c r="G7" s="5">
        <v>6</v>
      </c>
      <c r="H7" s="5">
        <f t="shared" ref="H7:H39" si="9">($G$4*$A$4*B7)/($H$4*G7)</f>
        <v>8.9644012944983817</v>
      </c>
      <c r="AI7" s="5">
        <v>55</v>
      </c>
      <c r="AJ7" s="5">
        <f t="shared" si="0"/>
        <v>1.142625</v>
      </c>
      <c r="AK7" s="5">
        <f t="shared" si="1"/>
        <v>400</v>
      </c>
      <c r="AL7">
        <f t="shared" si="2"/>
        <v>1.142625</v>
      </c>
      <c r="AM7">
        <f t="shared" si="3"/>
        <v>400</v>
      </c>
      <c r="AN7">
        <f t="shared" si="4"/>
        <v>3.5598705501618123E-2</v>
      </c>
      <c r="AO7">
        <f t="shared" si="5"/>
        <v>400</v>
      </c>
      <c r="BS7" s="5">
        <v>55</v>
      </c>
      <c r="BT7" s="5">
        <f t="shared" ref="BT7:BT39" si="10">$BS$4</f>
        <v>50</v>
      </c>
      <c r="BU7" s="5">
        <f>($BT$4*$BR$4*BS7)/(BT7*$BU$4)</f>
        <v>9.141</v>
      </c>
      <c r="BV7" s="5">
        <f t="shared" ref="BV7:BV39" si="11">$BS$4</f>
        <v>50</v>
      </c>
      <c r="BW7" s="5">
        <f t="shared" ref="BW7:BW39" si="12">($BV$4*$BR$4*BS7)/(BV7*$BW$4)</f>
        <v>9.141</v>
      </c>
      <c r="BX7" s="5">
        <f t="shared" ref="BX7:BX39" si="13">$BS$4</f>
        <v>50</v>
      </c>
      <c r="BY7" s="5">
        <f t="shared" ref="BY7:BY39" si="14">($BX$4*$BR$4*BS7)/(BX7*$BY$4)</f>
        <v>1.1833009708737865</v>
      </c>
    </row>
    <row r="8" spans="1:77" x14ac:dyDescent="0.3">
      <c r="B8" s="5">
        <f t="shared" si="6"/>
        <v>50</v>
      </c>
      <c r="C8" s="5">
        <v>7</v>
      </c>
      <c r="D8" s="5">
        <f t="shared" si="7"/>
        <v>59.357142857142854</v>
      </c>
      <c r="E8" s="5">
        <v>7</v>
      </c>
      <c r="F8" s="5">
        <f t="shared" si="8"/>
        <v>59.357142857142854</v>
      </c>
      <c r="G8" s="5">
        <v>7</v>
      </c>
      <c r="H8" s="5">
        <f t="shared" si="9"/>
        <v>7.6837725381414703</v>
      </c>
      <c r="AI8" s="5">
        <v>60</v>
      </c>
      <c r="AJ8" s="5">
        <f t="shared" si="0"/>
        <v>1.2465000000000002</v>
      </c>
      <c r="AK8" s="5">
        <f t="shared" si="1"/>
        <v>400</v>
      </c>
      <c r="AL8">
        <f t="shared" si="2"/>
        <v>1.2465000000000002</v>
      </c>
      <c r="AM8">
        <f t="shared" si="3"/>
        <v>400</v>
      </c>
      <c r="AN8">
        <f t="shared" si="4"/>
        <v>3.8834951456310676E-2</v>
      </c>
      <c r="AO8">
        <f t="shared" si="5"/>
        <v>400</v>
      </c>
      <c r="BS8" s="5">
        <v>60</v>
      </c>
      <c r="BT8" s="5">
        <f t="shared" si="10"/>
        <v>50</v>
      </c>
      <c r="BU8" s="5">
        <f t="shared" ref="BU8:BU39" si="15">($BT$4*$BR$4*BS8)/(BT8*$BU$4)</f>
        <v>9.9720000000000013</v>
      </c>
      <c r="BV8" s="5">
        <f t="shared" si="11"/>
        <v>50</v>
      </c>
      <c r="BW8" s="5">
        <f t="shared" si="12"/>
        <v>9.9720000000000013</v>
      </c>
      <c r="BX8" s="5">
        <f t="shared" si="13"/>
        <v>50</v>
      </c>
      <c r="BY8" s="5">
        <f t="shared" si="14"/>
        <v>1.2908737864077668</v>
      </c>
    </row>
    <row r="9" spans="1:77" x14ac:dyDescent="0.3">
      <c r="B9" s="5">
        <f t="shared" si="6"/>
        <v>50</v>
      </c>
      <c r="C9" s="5">
        <v>8</v>
      </c>
      <c r="D9" s="5">
        <f t="shared" si="7"/>
        <v>51.9375</v>
      </c>
      <c r="E9" s="5">
        <v>8</v>
      </c>
      <c r="F9" s="5">
        <f t="shared" si="8"/>
        <v>51.9375</v>
      </c>
      <c r="G9" s="5">
        <v>8</v>
      </c>
      <c r="H9" s="5">
        <f t="shared" si="9"/>
        <v>6.7233009708737859</v>
      </c>
      <c r="AI9" s="5">
        <v>65</v>
      </c>
      <c r="AJ9" s="5">
        <f t="shared" si="0"/>
        <v>1.3503749999999999</v>
      </c>
      <c r="AK9" s="5">
        <f t="shared" si="1"/>
        <v>400</v>
      </c>
      <c r="AL9">
        <f t="shared" si="2"/>
        <v>1.3503749999999999</v>
      </c>
      <c r="AM9">
        <f t="shared" si="3"/>
        <v>400</v>
      </c>
      <c r="AN9">
        <f t="shared" si="4"/>
        <v>4.2071197411003236E-2</v>
      </c>
      <c r="AO9">
        <f t="shared" si="5"/>
        <v>400</v>
      </c>
      <c r="BS9" s="5">
        <v>65</v>
      </c>
      <c r="BT9" s="5">
        <f t="shared" si="10"/>
        <v>50</v>
      </c>
      <c r="BU9" s="5">
        <f t="shared" si="15"/>
        <v>10.802999999999999</v>
      </c>
      <c r="BV9" s="5">
        <f t="shared" si="11"/>
        <v>50</v>
      </c>
      <c r="BW9" s="5">
        <f t="shared" si="12"/>
        <v>10.802999999999999</v>
      </c>
      <c r="BX9" s="5">
        <f t="shared" si="13"/>
        <v>50</v>
      </c>
      <c r="BY9" s="5">
        <f t="shared" si="14"/>
        <v>1.3984466019417476</v>
      </c>
    </row>
    <row r="10" spans="1:77" x14ac:dyDescent="0.3">
      <c r="B10" s="5">
        <f t="shared" si="6"/>
        <v>50</v>
      </c>
      <c r="C10" s="5">
        <v>9</v>
      </c>
      <c r="D10" s="5">
        <f t="shared" si="7"/>
        <v>46.166666666666664</v>
      </c>
      <c r="E10" s="5">
        <v>9</v>
      </c>
      <c r="F10" s="5">
        <f t="shared" si="8"/>
        <v>46.166666666666664</v>
      </c>
      <c r="G10" s="5">
        <v>9</v>
      </c>
      <c r="H10" s="5">
        <f t="shared" si="9"/>
        <v>5.9762675296655878</v>
      </c>
      <c r="AI10" s="5">
        <v>70</v>
      </c>
      <c r="AJ10" s="5">
        <f t="shared" si="0"/>
        <v>1.45425</v>
      </c>
      <c r="AK10" s="5">
        <f t="shared" si="1"/>
        <v>400</v>
      </c>
      <c r="AL10">
        <f t="shared" si="2"/>
        <v>1.45425</v>
      </c>
      <c r="AM10">
        <f t="shared" si="3"/>
        <v>400</v>
      </c>
      <c r="AN10">
        <f t="shared" si="4"/>
        <v>4.5307443365695796E-2</v>
      </c>
      <c r="AO10">
        <f t="shared" si="5"/>
        <v>400</v>
      </c>
      <c r="BS10" s="5">
        <v>70</v>
      </c>
      <c r="BT10" s="5">
        <f t="shared" si="10"/>
        <v>50</v>
      </c>
      <c r="BU10" s="5">
        <f t="shared" si="15"/>
        <v>11.634</v>
      </c>
      <c r="BV10" s="5">
        <f t="shared" si="11"/>
        <v>50</v>
      </c>
      <c r="BW10" s="5">
        <f t="shared" si="12"/>
        <v>11.634</v>
      </c>
      <c r="BX10" s="5">
        <f t="shared" si="13"/>
        <v>50</v>
      </c>
      <c r="BY10" s="5">
        <f t="shared" si="14"/>
        <v>1.506019417475728</v>
      </c>
    </row>
    <row r="11" spans="1:77" x14ac:dyDescent="0.3">
      <c r="B11" s="5">
        <f t="shared" si="6"/>
        <v>50</v>
      </c>
      <c r="C11" s="5">
        <v>10</v>
      </c>
      <c r="D11" s="5">
        <f t="shared" si="7"/>
        <v>41.55</v>
      </c>
      <c r="E11" s="5">
        <v>10</v>
      </c>
      <c r="F11" s="5">
        <f t="shared" si="8"/>
        <v>41.55</v>
      </c>
      <c r="G11" s="5">
        <v>10</v>
      </c>
      <c r="H11" s="5">
        <f t="shared" si="9"/>
        <v>5.3786407766990294</v>
      </c>
      <c r="AI11" s="5">
        <v>75</v>
      </c>
      <c r="AJ11" s="5">
        <f t="shared" si="0"/>
        <v>1.558125</v>
      </c>
      <c r="AK11" s="5">
        <f t="shared" si="1"/>
        <v>400</v>
      </c>
      <c r="AL11">
        <f t="shared" si="2"/>
        <v>1.558125</v>
      </c>
      <c r="AM11">
        <f t="shared" si="3"/>
        <v>400</v>
      </c>
      <c r="AN11">
        <f t="shared" si="4"/>
        <v>4.8543689320388349E-2</v>
      </c>
      <c r="AO11">
        <f t="shared" si="5"/>
        <v>400</v>
      </c>
      <c r="BS11" s="5">
        <v>75</v>
      </c>
      <c r="BT11" s="5">
        <f t="shared" si="10"/>
        <v>50</v>
      </c>
      <c r="BU11" s="5">
        <f t="shared" si="15"/>
        <v>12.465</v>
      </c>
      <c r="BV11" s="5">
        <f t="shared" si="11"/>
        <v>50</v>
      </c>
      <c r="BW11" s="5">
        <f t="shared" si="12"/>
        <v>12.465</v>
      </c>
      <c r="BX11" s="5">
        <f t="shared" si="13"/>
        <v>50</v>
      </c>
      <c r="BY11" s="5">
        <f t="shared" si="14"/>
        <v>1.6135922330097088</v>
      </c>
    </row>
    <row r="12" spans="1:77" x14ac:dyDescent="0.3">
      <c r="B12" s="5">
        <f t="shared" si="6"/>
        <v>50</v>
      </c>
      <c r="C12" s="5">
        <v>11</v>
      </c>
      <c r="D12" s="5">
        <f t="shared" si="7"/>
        <v>37.772727272727273</v>
      </c>
      <c r="E12" s="5">
        <v>11</v>
      </c>
      <c r="F12" s="5">
        <f t="shared" si="8"/>
        <v>37.772727272727273</v>
      </c>
      <c r="G12" s="5">
        <v>11</v>
      </c>
      <c r="H12" s="5">
        <f t="shared" si="9"/>
        <v>4.8896734333627538</v>
      </c>
      <c r="AI12" s="5">
        <v>80</v>
      </c>
      <c r="AJ12" s="5">
        <f t="shared" si="0"/>
        <v>1.6620000000000001</v>
      </c>
      <c r="AK12" s="5">
        <f t="shared" si="1"/>
        <v>400</v>
      </c>
      <c r="AL12">
        <f t="shared" si="2"/>
        <v>1.6620000000000001</v>
      </c>
      <c r="AM12">
        <f t="shared" si="3"/>
        <v>400</v>
      </c>
      <c r="AN12">
        <f t="shared" si="4"/>
        <v>5.1779935275080909E-2</v>
      </c>
      <c r="AO12">
        <f t="shared" si="5"/>
        <v>400</v>
      </c>
      <c r="BS12" s="5">
        <v>80</v>
      </c>
      <c r="BT12" s="5">
        <f t="shared" si="10"/>
        <v>50</v>
      </c>
      <c r="BU12" s="5">
        <f t="shared" si="15"/>
        <v>13.296000000000001</v>
      </c>
      <c r="BV12" s="5">
        <f t="shared" si="11"/>
        <v>50</v>
      </c>
      <c r="BW12" s="5">
        <f t="shared" si="12"/>
        <v>13.296000000000001</v>
      </c>
      <c r="BX12" s="5">
        <f t="shared" si="13"/>
        <v>50</v>
      </c>
      <c r="BY12" s="5">
        <f t="shared" si="14"/>
        <v>1.7211650485436893</v>
      </c>
    </row>
    <row r="13" spans="1:77" x14ac:dyDescent="0.3">
      <c r="B13" s="5">
        <f t="shared" si="6"/>
        <v>50</v>
      </c>
      <c r="C13" s="5">
        <v>12</v>
      </c>
      <c r="D13" s="5">
        <f t="shared" si="7"/>
        <v>34.625</v>
      </c>
      <c r="E13" s="5">
        <v>12</v>
      </c>
      <c r="F13" s="5">
        <f t="shared" si="8"/>
        <v>34.625</v>
      </c>
      <c r="G13" s="5">
        <v>12</v>
      </c>
      <c r="H13" s="5">
        <f t="shared" si="9"/>
        <v>4.4822006472491909</v>
      </c>
      <c r="AI13" s="5">
        <v>85</v>
      </c>
      <c r="AJ13" s="5">
        <f t="shared" si="0"/>
        <v>1.7658750000000001</v>
      </c>
      <c r="AK13" s="5">
        <f t="shared" si="1"/>
        <v>400</v>
      </c>
      <c r="AL13">
        <f t="shared" si="2"/>
        <v>1.7658750000000001</v>
      </c>
      <c r="AM13">
        <f t="shared" si="3"/>
        <v>400</v>
      </c>
      <c r="AN13">
        <f t="shared" si="4"/>
        <v>5.5016181229773461E-2</v>
      </c>
      <c r="AO13">
        <f t="shared" si="5"/>
        <v>400</v>
      </c>
      <c r="BS13" s="5">
        <v>85</v>
      </c>
      <c r="BT13" s="5">
        <f t="shared" si="10"/>
        <v>50</v>
      </c>
      <c r="BU13" s="5">
        <f t="shared" si="15"/>
        <v>14.127000000000001</v>
      </c>
      <c r="BV13" s="5">
        <f t="shared" si="11"/>
        <v>50</v>
      </c>
      <c r="BW13" s="5">
        <f t="shared" si="12"/>
        <v>14.127000000000001</v>
      </c>
      <c r="BX13" s="5">
        <f t="shared" si="13"/>
        <v>50</v>
      </c>
      <c r="BY13" s="5">
        <f t="shared" si="14"/>
        <v>1.8287378640776701</v>
      </c>
    </row>
    <row r="14" spans="1:77" x14ac:dyDescent="0.3">
      <c r="B14" s="5">
        <f t="shared" si="6"/>
        <v>50</v>
      </c>
      <c r="C14" s="5">
        <v>13</v>
      </c>
      <c r="D14" s="5">
        <f t="shared" si="7"/>
        <v>31.96153846153846</v>
      </c>
      <c r="E14" s="5">
        <v>13</v>
      </c>
      <c r="F14" s="5">
        <f t="shared" si="8"/>
        <v>31.96153846153846</v>
      </c>
      <c r="G14" s="5">
        <v>13</v>
      </c>
      <c r="H14" s="5">
        <f t="shared" si="9"/>
        <v>4.1374159820761758</v>
      </c>
      <c r="AI14" s="5">
        <v>90</v>
      </c>
      <c r="AJ14" s="5">
        <f t="shared" si="0"/>
        <v>1.8697500000000002</v>
      </c>
      <c r="AK14" s="5">
        <f t="shared" si="1"/>
        <v>400</v>
      </c>
      <c r="AL14">
        <f t="shared" si="2"/>
        <v>1.8697500000000002</v>
      </c>
      <c r="AM14">
        <f t="shared" si="3"/>
        <v>400</v>
      </c>
      <c r="AN14">
        <f t="shared" si="4"/>
        <v>5.8252427184466021E-2</v>
      </c>
      <c r="AO14">
        <f t="shared" si="5"/>
        <v>400</v>
      </c>
      <c r="BS14" s="5">
        <v>90</v>
      </c>
      <c r="BT14" s="5">
        <f t="shared" si="10"/>
        <v>50</v>
      </c>
      <c r="BU14" s="5">
        <f t="shared" si="15"/>
        <v>14.958000000000002</v>
      </c>
      <c r="BV14" s="5">
        <f t="shared" si="11"/>
        <v>50</v>
      </c>
      <c r="BW14" s="5">
        <f t="shared" si="12"/>
        <v>14.958000000000002</v>
      </c>
      <c r="BX14" s="5">
        <f t="shared" si="13"/>
        <v>50</v>
      </c>
      <c r="BY14" s="5">
        <f t="shared" si="14"/>
        <v>1.9363106796116503</v>
      </c>
    </row>
    <row r="15" spans="1:77" x14ac:dyDescent="0.3">
      <c r="B15" s="5">
        <f t="shared" si="6"/>
        <v>50</v>
      </c>
      <c r="C15" s="5">
        <v>14</v>
      </c>
      <c r="D15" s="5">
        <f t="shared" si="7"/>
        <v>29.678571428571427</v>
      </c>
      <c r="E15" s="5">
        <v>14</v>
      </c>
      <c r="F15" s="5">
        <f t="shared" si="8"/>
        <v>29.678571428571427</v>
      </c>
      <c r="G15" s="5">
        <v>14</v>
      </c>
      <c r="H15" s="5">
        <f t="shared" si="9"/>
        <v>3.8418862690707352</v>
      </c>
      <c r="AI15" s="5">
        <v>95</v>
      </c>
      <c r="AJ15" s="5">
        <f t="shared" si="0"/>
        <v>1.9736250000000002</v>
      </c>
      <c r="AK15" s="5">
        <f t="shared" si="1"/>
        <v>400</v>
      </c>
      <c r="AL15">
        <f t="shared" si="2"/>
        <v>1.9736250000000002</v>
      </c>
      <c r="AM15">
        <f t="shared" si="3"/>
        <v>400</v>
      </c>
      <c r="AN15">
        <f t="shared" si="4"/>
        <v>6.1488673139158574E-2</v>
      </c>
      <c r="AO15">
        <f t="shared" si="5"/>
        <v>400</v>
      </c>
      <c r="BS15" s="5">
        <v>95</v>
      </c>
      <c r="BT15" s="5">
        <f t="shared" si="10"/>
        <v>50</v>
      </c>
      <c r="BU15" s="5">
        <f t="shared" si="15"/>
        <v>15.789000000000001</v>
      </c>
      <c r="BV15" s="5">
        <f t="shared" si="11"/>
        <v>50</v>
      </c>
      <c r="BW15" s="5">
        <f t="shared" si="12"/>
        <v>15.789000000000001</v>
      </c>
      <c r="BX15" s="5">
        <f t="shared" si="13"/>
        <v>50</v>
      </c>
      <c r="BY15" s="5">
        <f t="shared" si="14"/>
        <v>2.0438834951456308</v>
      </c>
    </row>
    <row r="16" spans="1:77" x14ac:dyDescent="0.3">
      <c r="B16" s="5">
        <f t="shared" si="6"/>
        <v>50</v>
      </c>
      <c r="C16" s="5">
        <v>15</v>
      </c>
      <c r="D16" s="5">
        <f t="shared" si="7"/>
        <v>27.7</v>
      </c>
      <c r="E16" s="5">
        <v>15</v>
      </c>
      <c r="F16" s="5">
        <f t="shared" si="8"/>
        <v>27.7</v>
      </c>
      <c r="G16" s="5">
        <v>15</v>
      </c>
      <c r="H16" s="5">
        <f t="shared" si="9"/>
        <v>3.5857605177993528</v>
      </c>
      <c r="AI16" s="5">
        <v>100</v>
      </c>
      <c r="AJ16" s="5">
        <f t="shared" si="0"/>
        <v>2.0775000000000001</v>
      </c>
      <c r="AK16" s="5">
        <f t="shared" si="1"/>
        <v>400</v>
      </c>
      <c r="AL16">
        <f t="shared" si="2"/>
        <v>2.0775000000000001</v>
      </c>
      <c r="AM16">
        <f t="shared" si="3"/>
        <v>400</v>
      </c>
      <c r="AN16">
        <f t="shared" si="4"/>
        <v>6.4724919093851127E-2</v>
      </c>
      <c r="AO16">
        <f t="shared" si="5"/>
        <v>400</v>
      </c>
      <c r="BS16" s="5">
        <v>100</v>
      </c>
      <c r="BT16" s="5">
        <f t="shared" si="10"/>
        <v>50</v>
      </c>
      <c r="BU16" s="5">
        <f t="shared" si="15"/>
        <v>16.62</v>
      </c>
      <c r="BV16" s="5">
        <f t="shared" si="11"/>
        <v>50</v>
      </c>
      <c r="BW16" s="5">
        <f t="shared" si="12"/>
        <v>16.62</v>
      </c>
      <c r="BX16" s="5">
        <f t="shared" si="13"/>
        <v>50</v>
      </c>
      <c r="BY16" s="5">
        <f t="shared" si="14"/>
        <v>2.1514563106796118</v>
      </c>
    </row>
    <row r="17" spans="2:77" x14ac:dyDescent="0.3">
      <c r="B17" s="5">
        <f t="shared" si="6"/>
        <v>50</v>
      </c>
      <c r="C17" s="5">
        <v>16</v>
      </c>
      <c r="D17" s="5">
        <f t="shared" si="7"/>
        <v>25.96875</v>
      </c>
      <c r="E17" s="5">
        <v>16</v>
      </c>
      <c r="F17" s="5">
        <f t="shared" si="8"/>
        <v>25.96875</v>
      </c>
      <c r="G17" s="5">
        <v>16</v>
      </c>
      <c r="H17" s="5">
        <f t="shared" si="9"/>
        <v>3.3616504854368929</v>
      </c>
      <c r="AI17" s="5">
        <v>105</v>
      </c>
      <c r="AJ17" s="5">
        <f t="shared" si="0"/>
        <v>2.1813750000000001</v>
      </c>
      <c r="AK17" s="5">
        <f t="shared" si="1"/>
        <v>400</v>
      </c>
      <c r="AL17">
        <f t="shared" si="2"/>
        <v>2.1813750000000001</v>
      </c>
      <c r="AM17">
        <f t="shared" si="3"/>
        <v>400</v>
      </c>
      <c r="AN17">
        <f t="shared" si="4"/>
        <v>6.7961165048543687E-2</v>
      </c>
      <c r="AO17">
        <f t="shared" si="5"/>
        <v>400</v>
      </c>
      <c r="BS17" s="5">
        <v>105</v>
      </c>
      <c r="BT17" s="5">
        <f t="shared" si="10"/>
        <v>50</v>
      </c>
      <c r="BU17" s="5">
        <f t="shared" si="15"/>
        <v>17.451000000000001</v>
      </c>
      <c r="BV17" s="5">
        <f t="shared" si="11"/>
        <v>50</v>
      </c>
      <c r="BW17" s="5">
        <f t="shared" si="12"/>
        <v>17.451000000000001</v>
      </c>
      <c r="BX17" s="5">
        <f t="shared" si="13"/>
        <v>50</v>
      </c>
      <c r="BY17" s="5">
        <f t="shared" si="14"/>
        <v>2.2590291262135924</v>
      </c>
    </row>
    <row r="18" spans="2:77" x14ac:dyDescent="0.3">
      <c r="B18" s="5">
        <f t="shared" si="6"/>
        <v>50</v>
      </c>
      <c r="C18" s="5">
        <v>17</v>
      </c>
      <c r="D18" s="5">
        <f t="shared" si="7"/>
        <v>24.441176470588236</v>
      </c>
      <c r="E18" s="5">
        <v>17</v>
      </c>
      <c r="F18" s="5">
        <f t="shared" si="8"/>
        <v>24.441176470588236</v>
      </c>
      <c r="G18" s="5">
        <v>17</v>
      </c>
      <c r="H18" s="5">
        <f t="shared" si="9"/>
        <v>3.1639063392347229</v>
      </c>
      <c r="AI18" s="5">
        <v>110</v>
      </c>
      <c r="AJ18" s="5">
        <f t="shared" si="0"/>
        <v>2.28525</v>
      </c>
      <c r="AK18" s="5">
        <f t="shared" si="1"/>
        <v>400</v>
      </c>
      <c r="AL18">
        <f t="shared" si="2"/>
        <v>2.28525</v>
      </c>
      <c r="AM18">
        <f t="shared" si="3"/>
        <v>400</v>
      </c>
      <c r="AN18">
        <f t="shared" si="4"/>
        <v>7.1197411003236247E-2</v>
      </c>
      <c r="AO18">
        <f t="shared" si="5"/>
        <v>400</v>
      </c>
      <c r="BS18" s="5">
        <v>110</v>
      </c>
      <c r="BT18" s="5">
        <f t="shared" si="10"/>
        <v>50</v>
      </c>
      <c r="BU18" s="5">
        <f t="shared" si="15"/>
        <v>18.282</v>
      </c>
      <c r="BV18" s="5">
        <f t="shared" si="11"/>
        <v>50</v>
      </c>
      <c r="BW18" s="5">
        <f t="shared" si="12"/>
        <v>18.282</v>
      </c>
      <c r="BX18" s="5">
        <f t="shared" si="13"/>
        <v>50</v>
      </c>
      <c r="BY18" s="5">
        <f t="shared" si="14"/>
        <v>2.366601941747573</v>
      </c>
    </row>
    <row r="19" spans="2:77" x14ac:dyDescent="0.3">
      <c r="B19" s="5">
        <f t="shared" si="6"/>
        <v>50</v>
      </c>
      <c r="C19" s="5">
        <v>18</v>
      </c>
      <c r="D19" s="5">
        <f t="shared" si="7"/>
        <v>23.083333333333332</v>
      </c>
      <c r="E19" s="5">
        <v>18</v>
      </c>
      <c r="F19" s="5">
        <f t="shared" si="8"/>
        <v>23.083333333333332</v>
      </c>
      <c r="G19" s="5">
        <v>18</v>
      </c>
      <c r="H19" s="5">
        <f t="shared" si="9"/>
        <v>2.9881337648327939</v>
      </c>
      <c r="AI19" s="5">
        <v>115</v>
      </c>
      <c r="AJ19" s="5">
        <f t="shared" si="0"/>
        <v>2.3891250000000004</v>
      </c>
      <c r="AK19" s="5">
        <f t="shared" si="1"/>
        <v>400</v>
      </c>
      <c r="AL19">
        <f t="shared" si="2"/>
        <v>2.3891250000000004</v>
      </c>
      <c r="AM19">
        <f t="shared" si="3"/>
        <v>400</v>
      </c>
      <c r="AN19">
        <f t="shared" si="4"/>
        <v>7.4433656957928807E-2</v>
      </c>
      <c r="AO19">
        <f t="shared" si="5"/>
        <v>400</v>
      </c>
      <c r="BS19" s="5">
        <v>115</v>
      </c>
      <c r="BT19" s="5">
        <f t="shared" si="10"/>
        <v>50</v>
      </c>
      <c r="BU19" s="5">
        <f t="shared" si="15"/>
        <v>19.113000000000003</v>
      </c>
      <c r="BV19" s="5">
        <f t="shared" si="11"/>
        <v>50</v>
      </c>
      <c r="BW19" s="5">
        <f t="shared" si="12"/>
        <v>19.113000000000003</v>
      </c>
      <c r="BX19" s="5">
        <f t="shared" si="13"/>
        <v>50</v>
      </c>
      <c r="BY19" s="5">
        <f t="shared" si="14"/>
        <v>2.4741747572815531</v>
      </c>
    </row>
    <row r="20" spans="2:77" x14ac:dyDescent="0.3">
      <c r="B20" s="5">
        <f t="shared" si="6"/>
        <v>50</v>
      </c>
      <c r="C20" s="5">
        <v>19</v>
      </c>
      <c r="D20" s="5">
        <f t="shared" si="7"/>
        <v>21.868421052631579</v>
      </c>
      <c r="E20" s="5">
        <v>19</v>
      </c>
      <c r="F20" s="5">
        <f t="shared" si="8"/>
        <v>21.868421052631579</v>
      </c>
      <c r="G20" s="5">
        <v>19</v>
      </c>
      <c r="H20" s="5">
        <f t="shared" si="9"/>
        <v>2.8308635666836994</v>
      </c>
      <c r="AI20" s="5">
        <v>120</v>
      </c>
      <c r="AJ20" s="5">
        <f t="shared" si="0"/>
        <v>2.4930000000000003</v>
      </c>
      <c r="AK20" s="5">
        <f t="shared" si="1"/>
        <v>400</v>
      </c>
      <c r="AL20">
        <f t="shared" si="2"/>
        <v>2.4930000000000003</v>
      </c>
      <c r="AM20">
        <f t="shared" si="3"/>
        <v>400</v>
      </c>
      <c r="AN20">
        <f t="shared" si="4"/>
        <v>7.7669902912621352E-2</v>
      </c>
      <c r="AO20">
        <f t="shared" si="5"/>
        <v>400</v>
      </c>
      <c r="BS20" s="5">
        <v>120</v>
      </c>
      <c r="BT20" s="5">
        <f t="shared" si="10"/>
        <v>50</v>
      </c>
      <c r="BU20" s="5">
        <f t="shared" si="15"/>
        <v>19.944000000000003</v>
      </c>
      <c r="BV20" s="5">
        <f t="shared" si="11"/>
        <v>50</v>
      </c>
      <c r="BW20" s="5">
        <f t="shared" si="12"/>
        <v>19.944000000000003</v>
      </c>
      <c r="BX20" s="5">
        <f t="shared" si="13"/>
        <v>50</v>
      </c>
      <c r="BY20" s="5">
        <f t="shared" si="14"/>
        <v>2.5817475728155337</v>
      </c>
    </row>
    <row r="21" spans="2:77" x14ac:dyDescent="0.3">
      <c r="B21" s="5">
        <f t="shared" si="6"/>
        <v>50</v>
      </c>
      <c r="C21" s="5">
        <v>20</v>
      </c>
      <c r="D21" s="5">
        <f t="shared" si="7"/>
        <v>20.774999999999999</v>
      </c>
      <c r="E21" s="5">
        <v>20</v>
      </c>
      <c r="F21" s="5">
        <f t="shared" si="8"/>
        <v>20.774999999999999</v>
      </c>
      <c r="G21" s="5">
        <v>20</v>
      </c>
      <c r="H21" s="5">
        <f t="shared" si="9"/>
        <v>2.6893203883495147</v>
      </c>
      <c r="AI21" s="5">
        <v>125</v>
      </c>
      <c r="AJ21" s="5">
        <f t="shared" si="0"/>
        <v>2.5968749999999998</v>
      </c>
      <c r="AK21" s="5">
        <f t="shared" si="1"/>
        <v>400</v>
      </c>
      <c r="AL21">
        <f t="shared" si="2"/>
        <v>2.5968749999999998</v>
      </c>
      <c r="AM21">
        <f t="shared" si="3"/>
        <v>400</v>
      </c>
      <c r="AN21">
        <f t="shared" si="4"/>
        <v>8.0906148867313912E-2</v>
      </c>
      <c r="AO21">
        <f t="shared" si="5"/>
        <v>400</v>
      </c>
      <c r="BS21" s="5">
        <v>125</v>
      </c>
      <c r="BT21" s="5">
        <f t="shared" si="10"/>
        <v>50</v>
      </c>
      <c r="BU21" s="5">
        <f t="shared" si="15"/>
        <v>20.774999999999999</v>
      </c>
      <c r="BV21" s="5">
        <f t="shared" si="11"/>
        <v>50</v>
      </c>
      <c r="BW21" s="5">
        <f t="shared" si="12"/>
        <v>20.774999999999999</v>
      </c>
      <c r="BX21" s="5">
        <f t="shared" si="13"/>
        <v>50</v>
      </c>
      <c r="BY21" s="5">
        <f t="shared" si="14"/>
        <v>2.6893203883495147</v>
      </c>
    </row>
    <row r="22" spans="2:77" x14ac:dyDescent="0.3">
      <c r="B22" s="5">
        <f t="shared" si="6"/>
        <v>50</v>
      </c>
      <c r="C22" s="5">
        <v>21</v>
      </c>
      <c r="D22" s="5">
        <f t="shared" si="7"/>
        <v>19.785714285714285</v>
      </c>
      <c r="E22" s="5">
        <v>21</v>
      </c>
      <c r="F22" s="5">
        <f t="shared" si="8"/>
        <v>19.785714285714285</v>
      </c>
      <c r="G22" s="5">
        <v>21</v>
      </c>
      <c r="H22" s="5">
        <f t="shared" si="9"/>
        <v>2.5612575127138233</v>
      </c>
      <c r="AI22" s="5">
        <v>130</v>
      </c>
      <c r="AJ22" s="5">
        <f t="shared" si="0"/>
        <v>2.7007499999999998</v>
      </c>
      <c r="AK22" s="5">
        <f t="shared" si="1"/>
        <v>400</v>
      </c>
      <c r="AL22">
        <f t="shared" si="2"/>
        <v>2.7007499999999998</v>
      </c>
      <c r="AM22">
        <f t="shared" si="3"/>
        <v>400</v>
      </c>
      <c r="AN22">
        <f t="shared" si="4"/>
        <v>8.4142394822006472E-2</v>
      </c>
      <c r="AO22">
        <f t="shared" si="5"/>
        <v>400</v>
      </c>
      <c r="BS22" s="5">
        <v>130</v>
      </c>
      <c r="BT22" s="5">
        <f t="shared" si="10"/>
        <v>50</v>
      </c>
      <c r="BU22" s="5">
        <f t="shared" si="15"/>
        <v>21.605999999999998</v>
      </c>
      <c r="BV22" s="5">
        <f t="shared" si="11"/>
        <v>50</v>
      </c>
      <c r="BW22" s="5">
        <f t="shared" si="12"/>
        <v>21.605999999999998</v>
      </c>
      <c r="BX22" s="5">
        <f t="shared" si="13"/>
        <v>50</v>
      </c>
      <c r="BY22" s="5">
        <f t="shared" si="14"/>
        <v>2.7968932038834953</v>
      </c>
    </row>
    <row r="23" spans="2:77" x14ac:dyDescent="0.3">
      <c r="B23" s="5">
        <f t="shared" si="6"/>
        <v>50</v>
      </c>
      <c r="C23" s="5">
        <v>22</v>
      </c>
      <c r="D23" s="5">
        <f t="shared" si="7"/>
        <v>18.886363636363637</v>
      </c>
      <c r="E23" s="5">
        <v>22</v>
      </c>
      <c r="F23" s="5">
        <f t="shared" si="8"/>
        <v>18.886363636363637</v>
      </c>
      <c r="G23" s="5">
        <v>22</v>
      </c>
      <c r="H23" s="5">
        <f t="shared" si="9"/>
        <v>2.4448367166813769</v>
      </c>
      <c r="AI23" s="5">
        <v>135</v>
      </c>
      <c r="AJ23" s="5">
        <f t="shared" si="0"/>
        <v>2.8046250000000001</v>
      </c>
      <c r="AK23" s="5">
        <f t="shared" si="1"/>
        <v>400</v>
      </c>
      <c r="AL23">
        <f t="shared" si="2"/>
        <v>2.8046250000000001</v>
      </c>
      <c r="AM23">
        <f t="shared" si="3"/>
        <v>400</v>
      </c>
      <c r="AN23">
        <f t="shared" si="4"/>
        <v>8.7378640776699032E-2</v>
      </c>
      <c r="AO23">
        <f t="shared" si="5"/>
        <v>400</v>
      </c>
      <c r="BS23" s="5">
        <v>135</v>
      </c>
      <c r="BT23" s="5">
        <f t="shared" si="10"/>
        <v>50</v>
      </c>
      <c r="BU23" s="5">
        <f t="shared" si="15"/>
        <v>22.437000000000001</v>
      </c>
      <c r="BV23" s="5">
        <f t="shared" si="11"/>
        <v>50</v>
      </c>
      <c r="BW23" s="5">
        <f t="shared" si="12"/>
        <v>22.437000000000001</v>
      </c>
      <c r="BX23" s="5">
        <f t="shared" si="13"/>
        <v>50</v>
      </c>
      <c r="BY23" s="5">
        <f t="shared" si="14"/>
        <v>2.9044660194174758</v>
      </c>
    </row>
    <row r="24" spans="2:77" x14ac:dyDescent="0.3">
      <c r="B24" s="5">
        <f t="shared" si="6"/>
        <v>50</v>
      </c>
      <c r="C24" s="5">
        <v>23</v>
      </c>
      <c r="D24" s="5">
        <f t="shared" si="7"/>
        <v>18.065217391304348</v>
      </c>
      <c r="E24" s="5">
        <v>23</v>
      </c>
      <c r="F24" s="5">
        <f t="shared" si="8"/>
        <v>18.065217391304348</v>
      </c>
      <c r="G24" s="5">
        <v>23</v>
      </c>
      <c r="H24" s="5">
        <f t="shared" si="9"/>
        <v>2.3385394681300129</v>
      </c>
      <c r="AI24" s="5">
        <v>140</v>
      </c>
      <c r="AJ24" s="5">
        <f t="shared" si="0"/>
        <v>2.9085000000000001</v>
      </c>
      <c r="AK24" s="5">
        <f t="shared" si="1"/>
        <v>400</v>
      </c>
      <c r="AL24">
        <f t="shared" si="2"/>
        <v>2.9085000000000001</v>
      </c>
      <c r="AM24">
        <f t="shared" si="3"/>
        <v>400</v>
      </c>
      <c r="AN24">
        <f t="shared" si="4"/>
        <v>9.0614886731391592E-2</v>
      </c>
      <c r="AO24">
        <f t="shared" si="5"/>
        <v>400</v>
      </c>
      <c r="BS24" s="5">
        <v>140</v>
      </c>
      <c r="BT24" s="5">
        <f t="shared" si="10"/>
        <v>50</v>
      </c>
      <c r="BU24" s="5">
        <f t="shared" si="15"/>
        <v>23.268000000000001</v>
      </c>
      <c r="BV24" s="5">
        <f t="shared" si="11"/>
        <v>50</v>
      </c>
      <c r="BW24" s="5">
        <f t="shared" si="12"/>
        <v>23.268000000000001</v>
      </c>
      <c r="BX24" s="5">
        <f t="shared" si="13"/>
        <v>50</v>
      </c>
      <c r="BY24" s="5">
        <f t="shared" si="14"/>
        <v>3.012038834951456</v>
      </c>
    </row>
    <row r="25" spans="2:77" x14ac:dyDescent="0.3">
      <c r="B25" s="5">
        <f t="shared" si="6"/>
        <v>50</v>
      </c>
      <c r="C25" s="5">
        <v>24</v>
      </c>
      <c r="D25" s="5">
        <f t="shared" si="7"/>
        <v>17.3125</v>
      </c>
      <c r="E25" s="5">
        <v>24</v>
      </c>
      <c r="F25" s="5">
        <f t="shared" si="8"/>
        <v>17.3125</v>
      </c>
      <c r="G25" s="5">
        <v>24</v>
      </c>
      <c r="H25" s="5">
        <f t="shared" si="9"/>
        <v>2.2411003236245954</v>
      </c>
      <c r="AI25" s="5">
        <v>145</v>
      </c>
      <c r="AJ25" s="5">
        <f t="shared" si="0"/>
        <v>3.012375</v>
      </c>
      <c r="AK25" s="5">
        <f t="shared" si="1"/>
        <v>400</v>
      </c>
      <c r="AL25">
        <f t="shared" si="2"/>
        <v>3.012375</v>
      </c>
      <c r="AM25">
        <f t="shared" si="3"/>
        <v>400</v>
      </c>
      <c r="AN25">
        <f t="shared" si="4"/>
        <v>9.3851132686084138E-2</v>
      </c>
      <c r="AO25">
        <f t="shared" si="5"/>
        <v>400</v>
      </c>
      <c r="BS25" s="5">
        <v>145</v>
      </c>
      <c r="BT25" s="5">
        <f t="shared" si="10"/>
        <v>50</v>
      </c>
      <c r="BU25" s="5">
        <f t="shared" si="15"/>
        <v>24.099</v>
      </c>
      <c r="BV25" s="5">
        <f t="shared" si="11"/>
        <v>50</v>
      </c>
      <c r="BW25" s="5">
        <f t="shared" si="12"/>
        <v>24.099</v>
      </c>
      <c r="BX25" s="5">
        <f t="shared" si="13"/>
        <v>50</v>
      </c>
      <c r="BY25" s="5">
        <f t="shared" si="14"/>
        <v>3.119611650485437</v>
      </c>
    </row>
    <row r="26" spans="2:77" x14ac:dyDescent="0.3">
      <c r="B26" s="5">
        <f t="shared" si="6"/>
        <v>50</v>
      </c>
      <c r="C26" s="5">
        <v>25</v>
      </c>
      <c r="D26" s="5">
        <f t="shared" si="7"/>
        <v>16.62</v>
      </c>
      <c r="E26" s="5">
        <v>25</v>
      </c>
      <c r="F26" s="5">
        <f t="shared" si="8"/>
        <v>16.62</v>
      </c>
      <c r="G26" s="5">
        <v>25</v>
      </c>
      <c r="H26" s="5">
        <f t="shared" si="9"/>
        <v>2.1514563106796118</v>
      </c>
      <c r="AI26" s="5">
        <v>150</v>
      </c>
      <c r="AJ26" s="5">
        <f t="shared" si="0"/>
        <v>3.11625</v>
      </c>
      <c r="AK26" s="5">
        <f t="shared" si="1"/>
        <v>400</v>
      </c>
      <c r="AL26">
        <f t="shared" si="2"/>
        <v>3.11625</v>
      </c>
      <c r="AM26">
        <f t="shared" si="3"/>
        <v>400</v>
      </c>
      <c r="AN26">
        <f t="shared" si="4"/>
        <v>9.7087378640776698E-2</v>
      </c>
      <c r="AO26">
        <f t="shared" si="5"/>
        <v>400</v>
      </c>
      <c r="BS26" s="5">
        <v>150</v>
      </c>
      <c r="BT26" s="5">
        <f t="shared" si="10"/>
        <v>50</v>
      </c>
      <c r="BU26" s="5">
        <f t="shared" si="15"/>
        <v>24.93</v>
      </c>
      <c r="BV26" s="5">
        <f t="shared" si="11"/>
        <v>50</v>
      </c>
      <c r="BW26" s="5">
        <f t="shared" si="12"/>
        <v>24.93</v>
      </c>
      <c r="BX26" s="5">
        <f t="shared" si="13"/>
        <v>50</v>
      </c>
      <c r="BY26" s="5">
        <f t="shared" si="14"/>
        <v>3.2271844660194176</v>
      </c>
    </row>
    <row r="27" spans="2:77" x14ac:dyDescent="0.3">
      <c r="B27" s="5">
        <f t="shared" si="6"/>
        <v>50</v>
      </c>
      <c r="C27" s="5">
        <v>26</v>
      </c>
      <c r="D27" s="5">
        <f t="shared" si="7"/>
        <v>15.98076923076923</v>
      </c>
      <c r="E27" s="5">
        <v>26</v>
      </c>
      <c r="F27" s="5">
        <f t="shared" si="8"/>
        <v>15.98076923076923</v>
      </c>
      <c r="G27" s="5">
        <v>26</v>
      </c>
      <c r="H27" s="5">
        <f t="shared" si="9"/>
        <v>2.0687079910380879</v>
      </c>
      <c r="AI27" s="5">
        <v>155</v>
      </c>
      <c r="AJ27" s="5">
        <f t="shared" si="0"/>
        <v>3.2201250000000003</v>
      </c>
      <c r="AK27" s="5">
        <f t="shared" si="1"/>
        <v>400</v>
      </c>
      <c r="AL27">
        <f t="shared" si="2"/>
        <v>3.2201250000000003</v>
      </c>
      <c r="AM27">
        <f t="shared" si="3"/>
        <v>400</v>
      </c>
      <c r="AN27">
        <f t="shared" si="4"/>
        <v>0.10032362459546926</v>
      </c>
      <c r="AO27">
        <f t="shared" si="5"/>
        <v>400</v>
      </c>
      <c r="BS27" s="5">
        <v>155</v>
      </c>
      <c r="BT27" s="5">
        <f t="shared" si="10"/>
        <v>50</v>
      </c>
      <c r="BU27" s="5">
        <f t="shared" si="15"/>
        <v>25.761000000000003</v>
      </c>
      <c r="BV27" s="5">
        <f t="shared" si="11"/>
        <v>50</v>
      </c>
      <c r="BW27" s="5">
        <f t="shared" si="12"/>
        <v>25.761000000000003</v>
      </c>
      <c r="BX27" s="5">
        <f t="shared" si="13"/>
        <v>50</v>
      </c>
      <c r="BY27" s="5">
        <f t="shared" si="14"/>
        <v>3.3347572815533981</v>
      </c>
    </row>
    <row r="28" spans="2:77" x14ac:dyDescent="0.3">
      <c r="B28" s="5">
        <f t="shared" si="6"/>
        <v>50</v>
      </c>
      <c r="C28" s="5">
        <v>27</v>
      </c>
      <c r="D28" s="5">
        <f t="shared" si="7"/>
        <v>15.388888888888889</v>
      </c>
      <c r="E28" s="5">
        <v>27</v>
      </c>
      <c r="F28" s="5">
        <f t="shared" si="8"/>
        <v>15.388888888888889</v>
      </c>
      <c r="G28" s="5">
        <v>27</v>
      </c>
      <c r="H28" s="5">
        <f t="shared" si="9"/>
        <v>1.9920891765551958</v>
      </c>
      <c r="AI28" s="5">
        <v>160</v>
      </c>
      <c r="AJ28" s="5">
        <f t="shared" si="0"/>
        <v>3.3240000000000003</v>
      </c>
      <c r="AK28" s="5">
        <f t="shared" si="1"/>
        <v>400</v>
      </c>
      <c r="AL28">
        <f t="shared" si="2"/>
        <v>3.3240000000000003</v>
      </c>
      <c r="AM28">
        <f t="shared" si="3"/>
        <v>400</v>
      </c>
      <c r="AN28">
        <f t="shared" si="4"/>
        <v>0.10355987055016182</v>
      </c>
      <c r="AO28">
        <f t="shared" si="5"/>
        <v>400</v>
      </c>
      <c r="BS28" s="5">
        <v>160</v>
      </c>
      <c r="BT28" s="5">
        <f t="shared" si="10"/>
        <v>50</v>
      </c>
      <c r="BU28" s="5">
        <f t="shared" si="15"/>
        <v>26.592000000000002</v>
      </c>
      <c r="BV28" s="5">
        <f t="shared" si="11"/>
        <v>50</v>
      </c>
      <c r="BW28" s="5">
        <f t="shared" si="12"/>
        <v>26.592000000000002</v>
      </c>
      <c r="BX28" s="5">
        <f t="shared" si="13"/>
        <v>50</v>
      </c>
      <c r="BY28" s="5">
        <f t="shared" si="14"/>
        <v>3.4423300970873787</v>
      </c>
    </row>
    <row r="29" spans="2:77" x14ac:dyDescent="0.3">
      <c r="B29" s="5">
        <f t="shared" si="6"/>
        <v>50</v>
      </c>
      <c r="C29" s="5">
        <v>28</v>
      </c>
      <c r="D29" s="5">
        <f t="shared" si="7"/>
        <v>14.839285714285714</v>
      </c>
      <c r="E29" s="5">
        <v>28</v>
      </c>
      <c r="F29" s="5">
        <f t="shared" si="8"/>
        <v>14.839285714285714</v>
      </c>
      <c r="G29" s="5">
        <v>28</v>
      </c>
      <c r="H29" s="5">
        <f t="shared" si="9"/>
        <v>1.9209431345353676</v>
      </c>
      <c r="AI29" s="5">
        <v>165</v>
      </c>
      <c r="AJ29" s="5">
        <f t="shared" si="0"/>
        <v>3.4278750000000002</v>
      </c>
      <c r="AK29" s="5">
        <f t="shared" si="1"/>
        <v>400</v>
      </c>
      <c r="AL29">
        <f t="shared" si="2"/>
        <v>3.4278750000000002</v>
      </c>
      <c r="AM29">
        <f t="shared" si="3"/>
        <v>400</v>
      </c>
      <c r="AN29">
        <f t="shared" si="4"/>
        <v>0.10679611650485436</v>
      </c>
      <c r="AO29">
        <f t="shared" si="5"/>
        <v>400</v>
      </c>
      <c r="BS29" s="5">
        <v>165</v>
      </c>
      <c r="BT29" s="5">
        <f t="shared" si="10"/>
        <v>50</v>
      </c>
      <c r="BU29" s="5">
        <f t="shared" si="15"/>
        <v>27.423000000000002</v>
      </c>
      <c r="BV29" s="5">
        <f t="shared" si="11"/>
        <v>50</v>
      </c>
      <c r="BW29" s="5">
        <f t="shared" si="12"/>
        <v>27.423000000000002</v>
      </c>
      <c r="BX29" s="5">
        <f t="shared" si="13"/>
        <v>50</v>
      </c>
      <c r="BY29" s="5">
        <f t="shared" si="14"/>
        <v>3.5499029126213593</v>
      </c>
    </row>
    <row r="30" spans="2:77" x14ac:dyDescent="0.3">
      <c r="B30" s="5">
        <f t="shared" si="6"/>
        <v>50</v>
      </c>
      <c r="C30" s="5">
        <v>29</v>
      </c>
      <c r="D30" s="5">
        <f t="shared" si="7"/>
        <v>14.327586206896552</v>
      </c>
      <c r="E30" s="5">
        <v>29</v>
      </c>
      <c r="F30" s="5">
        <f t="shared" si="8"/>
        <v>14.327586206896552</v>
      </c>
      <c r="G30" s="5">
        <v>29</v>
      </c>
      <c r="H30" s="5">
        <f t="shared" si="9"/>
        <v>1.8547037161031135</v>
      </c>
      <c r="AI30" s="5">
        <v>170</v>
      </c>
      <c r="AJ30" s="5">
        <f t="shared" si="0"/>
        <v>3.5317500000000002</v>
      </c>
      <c r="AK30" s="5">
        <f t="shared" si="1"/>
        <v>400</v>
      </c>
      <c r="AL30">
        <f t="shared" si="2"/>
        <v>3.5317500000000002</v>
      </c>
      <c r="AM30">
        <f t="shared" si="3"/>
        <v>400</v>
      </c>
      <c r="AN30">
        <f t="shared" si="4"/>
        <v>0.11003236245954692</v>
      </c>
      <c r="AO30">
        <f t="shared" si="5"/>
        <v>400</v>
      </c>
      <c r="BS30" s="5">
        <v>170</v>
      </c>
      <c r="BT30" s="5">
        <f t="shared" si="10"/>
        <v>50</v>
      </c>
      <c r="BU30" s="5">
        <f t="shared" si="15"/>
        <v>28.254000000000001</v>
      </c>
      <c r="BV30" s="5">
        <f t="shared" si="11"/>
        <v>50</v>
      </c>
      <c r="BW30" s="5">
        <f t="shared" si="12"/>
        <v>28.254000000000001</v>
      </c>
      <c r="BX30" s="5">
        <f t="shared" si="13"/>
        <v>50</v>
      </c>
      <c r="BY30" s="5">
        <f t="shared" si="14"/>
        <v>3.6574757281553403</v>
      </c>
    </row>
    <row r="31" spans="2:77" x14ac:dyDescent="0.3">
      <c r="B31" s="5">
        <f t="shared" si="6"/>
        <v>50</v>
      </c>
      <c r="C31" s="5">
        <v>30</v>
      </c>
      <c r="D31" s="5">
        <f t="shared" si="7"/>
        <v>13.85</v>
      </c>
      <c r="E31" s="5">
        <v>30</v>
      </c>
      <c r="F31" s="5">
        <f t="shared" si="8"/>
        <v>13.85</v>
      </c>
      <c r="G31" s="5">
        <v>30</v>
      </c>
      <c r="H31" s="5">
        <f t="shared" si="9"/>
        <v>1.7928802588996764</v>
      </c>
      <c r="AI31" s="5">
        <v>175</v>
      </c>
      <c r="AJ31" s="5">
        <f t="shared" si="0"/>
        <v>3.6356250000000001</v>
      </c>
      <c r="AK31" s="5">
        <f t="shared" si="1"/>
        <v>400</v>
      </c>
      <c r="AL31">
        <f t="shared" si="2"/>
        <v>3.6356250000000001</v>
      </c>
      <c r="AM31">
        <f t="shared" si="3"/>
        <v>400</v>
      </c>
      <c r="AN31">
        <f t="shared" si="4"/>
        <v>0.11326860841423948</v>
      </c>
      <c r="AO31">
        <f t="shared" si="5"/>
        <v>400</v>
      </c>
      <c r="BS31" s="5">
        <v>175</v>
      </c>
      <c r="BT31" s="5">
        <f t="shared" si="10"/>
        <v>50</v>
      </c>
      <c r="BU31" s="5">
        <f t="shared" si="15"/>
        <v>29.085000000000001</v>
      </c>
      <c r="BV31" s="5">
        <f t="shared" si="11"/>
        <v>50</v>
      </c>
      <c r="BW31" s="5">
        <f t="shared" si="12"/>
        <v>29.085000000000001</v>
      </c>
      <c r="BX31" s="5">
        <f t="shared" si="13"/>
        <v>50</v>
      </c>
      <c r="BY31" s="5">
        <f t="shared" si="14"/>
        <v>3.7650485436893204</v>
      </c>
    </row>
    <row r="32" spans="2:77" x14ac:dyDescent="0.3">
      <c r="B32" s="5">
        <f t="shared" si="6"/>
        <v>50</v>
      </c>
      <c r="C32" s="5">
        <v>31</v>
      </c>
      <c r="D32" s="5">
        <f t="shared" si="7"/>
        <v>13.403225806451612</v>
      </c>
      <c r="E32" s="5">
        <v>31</v>
      </c>
      <c r="F32" s="5">
        <f t="shared" si="8"/>
        <v>13.403225806451612</v>
      </c>
      <c r="G32" s="5">
        <v>31</v>
      </c>
      <c r="H32" s="5">
        <f t="shared" si="9"/>
        <v>1.7350454118383962</v>
      </c>
      <c r="AI32" s="5">
        <v>180</v>
      </c>
      <c r="AJ32" s="5">
        <f t="shared" si="0"/>
        <v>3.7395000000000005</v>
      </c>
      <c r="AK32" s="5">
        <f t="shared" si="1"/>
        <v>400</v>
      </c>
      <c r="AL32">
        <f t="shared" si="2"/>
        <v>3.7395000000000005</v>
      </c>
      <c r="AM32">
        <f t="shared" si="3"/>
        <v>400</v>
      </c>
      <c r="AN32">
        <f t="shared" si="4"/>
        <v>0.11650485436893204</v>
      </c>
      <c r="AO32">
        <f t="shared" si="5"/>
        <v>400</v>
      </c>
      <c r="BS32" s="5">
        <v>180</v>
      </c>
      <c r="BT32" s="5">
        <f t="shared" si="10"/>
        <v>50</v>
      </c>
      <c r="BU32" s="5">
        <f t="shared" si="15"/>
        <v>29.916000000000004</v>
      </c>
      <c r="BV32" s="5">
        <f t="shared" si="11"/>
        <v>50</v>
      </c>
      <c r="BW32" s="5">
        <f t="shared" si="12"/>
        <v>29.916000000000004</v>
      </c>
      <c r="BX32" s="5">
        <f t="shared" si="13"/>
        <v>50</v>
      </c>
      <c r="BY32" s="5">
        <f t="shared" si="14"/>
        <v>3.8726213592233005</v>
      </c>
    </row>
    <row r="33" spans="2:77" x14ac:dyDescent="0.3">
      <c r="B33" s="5">
        <f t="shared" si="6"/>
        <v>50</v>
      </c>
      <c r="C33" s="5">
        <v>32</v>
      </c>
      <c r="D33" s="5">
        <f t="shared" si="7"/>
        <v>12.984375</v>
      </c>
      <c r="E33" s="5">
        <v>32</v>
      </c>
      <c r="F33" s="5">
        <f t="shared" si="8"/>
        <v>12.984375</v>
      </c>
      <c r="G33" s="5">
        <v>32</v>
      </c>
      <c r="H33" s="5">
        <f t="shared" si="9"/>
        <v>1.6808252427184465</v>
      </c>
      <c r="AI33" s="5">
        <v>185</v>
      </c>
      <c r="AJ33" s="5">
        <f t="shared" si="0"/>
        <v>3.8433750000000004</v>
      </c>
      <c r="AK33" s="5">
        <f t="shared" si="1"/>
        <v>400</v>
      </c>
      <c r="AL33">
        <f t="shared" si="2"/>
        <v>3.8433750000000004</v>
      </c>
      <c r="AM33">
        <f t="shared" si="3"/>
        <v>400</v>
      </c>
      <c r="AN33">
        <f t="shared" si="4"/>
        <v>0.11974110032362459</v>
      </c>
      <c r="AO33">
        <f t="shared" si="5"/>
        <v>400</v>
      </c>
      <c r="BS33" s="5">
        <v>185</v>
      </c>
      <c r="BT33" s="5">
        <f t="shared" si="10"/>
        <v>50</v>
      </c>
      <c r="BU33" s="5">
        <f t="shared" si="15"/>
        <v>30.747000000000003</v>
      </c>
      <c r="BV33" s="5">
        <f t="shared" si="11"/>
        <v>50</v>
      </c>
      <c r="BW33" s="5">
        <f t="shared" si="12"/>
        <v>30.747000000000003</v>
      </c>
      <c r="BX33" s="5">
        <f t="shared" si="13"/>
        <v>50</v>
      </c>
      <c r="BY33" s="5">
        <f t="shared" si="14"/>
        <v>3.9801941747572815</v>
      </c>
    </row>
    <row r="34" spans="2:77" x14ac:dyDescent="0.3">
      <c r="B34" s="5">
        <f t="shared" si="6"/>
        <v>50</v>
      </c>
      <c r="C34" s="5">
        <v>33</v>
      </c>
      <c r="D34" s="5">
        <f t="shared" si="7"/>
        <v>12.590909090909092</v>
      </c>
      <c r="E34" s="5">
        <v>33</v>
      </c>
      <c r="F34" s="5">
        <f t="shared" si="8"/>
        <v>12.590909090909092</v>
      </c>
      <c r="G34" s="5">
        <v>33</v>
      </c>
      <c r="H34" s="5">
        <f t="shared" si="9"/>
        <v>1.6298911444542512</v>
      </c>
      <c r="AI34" s="5">
        <v>190</v>
      </c>
      <c r="AJ34" s="5">
        <f t="shared" si="0"/>
        <v>3.9472500000000004</v>
      </c>
      <c r="AK34" s="5">
        <f t="shared" si="1"/>
        <v>400</v>
      </c>
      <c r="AL34">
        <f t="shared" si="2"/>
        <v>3.9472500000000004</v>
      </c>
      <c r="AM34">
        <f t="shared" si="3"/>
        <v>400</v>
      </c>
      <c r="AN34">
        <f t="shared" si="4"/>
        <v>0.12297734627831715</v>
      </c>
      <c r="AO34">
        <f t="shared" si="5"/>
        <v>400</v>
      </c>
      <c r="BS34" s="5">
        <v>190</v>
      </c>
      <c r="BT34" s="5">
        <f t="shared" si="10"/>
        <v>50</v>
      </c>
      <c r="BU34" s="5">
        <f t="shared" si="15"/>
        <v>31.578000000000003</v>
      </c>
      <c r="BV34" s="5">
        <f t="shared" si="11"/>
        <v>50</v>
      </c>
      <c r="BW34" s="5">
        <f t="shared" si="12"/>
        <v>31.578000000000003</v>
      </c>
      <c r="BX34" s="5">
        <f t="shared" si="13"/>
        <v>50</v>
      </c>
      <c r="BY34" s="5">
        <f t="shared" si="14"/>
        <v>4.0877669902912617</v>
      </c>
    </row>
    <row r="35" spans="2:77" x14ac:dyDescent="0.3">
      <c r="B35" s="5">
        <f t="shared" si="6"/>
        <v>50</v>
      </c>
      <c r="C35" s="5">
        <v>34</v>
      </c>
      <c r="D35" s="5">
        <f t="shared" si="7"/>
        <v>12.220588235294118</v>
      </c>
      <c r="E35" s="5">
        <v>34</v>
      </c>
      <c r="F35" s="5">
        <f t="shared" si="8"/>
        <v>12.220588235294118</v>
      </c>
      <c r="G35" s="5">
        <v>34</v>
      </c>
      <c r="H35" s="5">
        <f t="shared" si="9"/>
        <v>1.5819531696173614</v>
      </c>
      <c r="AI35" s="5">
        <v>195</v>
      </c>
      <c r="AJ35" s="5">
        <f t="shared" si="0"/>
        <v>4.0511249999999999</v>
      </c>
      <c r="AK35" s="5">
        <f t="shared" si="1"/>
        <v>400</v>
      </c>
      <c r="AL35">
        <f t="shared" si="2"/>
        <v>4.0511249999999999</v>
      </c>
      <c r="AM35">
        <f t="shared" si="3"/>
        <v>400</v>
      </c>
      <c r="AN35">
        <f t="shared" si="4"/>
        <v>0.12621359223300971</v>
      </c>
      <c r="AO35">
        <f t="shared" si="5"/>
        <v>400</v>
      </c>
      <c r="BS35" s="5">
        <v>195</v>
      </c>
      <c r="BT35" s="5">
        <f t="shared" si="10"/>
        <v>50</v>
      </c>
      <c r="BU35" s="5">
        <f t="shared" si="15"/>
        <v>32.408999999999999</v>
      </c>
      <c r="BV35" s="5">
        <f t="shared" si="11"/>
        <v>50</v>
      </c>
      <c r="BW35" s="5">
        <f t="shared" si="12"/>
        <v>32.408999999999999</v>
      </c>
      <c r="BX35" s="5">
        <f t="shared" si="13"/>
        <v>50</v>
      </c>
      <c r="BY35" s="5">
        <f t="shared" si="14"/>
        <v>4.1953398058252427</v>
      </c>
    </row>
    <row r="36" spans="2:77" x14ac:dyDescent="0.3">
      <c r="B36" s="5">
        <f t="shared" si="6"/>
        <v>50</v>
      </c>
      <c r="C36" s="5">
        <v>35</v>
      </c>
      <c r="D36" s="5">
        <f t="shared" si="7"/>
        <v>11.871428571428572</v>
      </c>
      <c r="E36" s="5">
        <v>35</v>
      </c>
      <c r="F36" s="5">
        <f t="shared" si="8"/>
        <v>11.871428571428572</v>
      </c>
      <c r="G36" s="5">
        <v>35</v>
      </c>
      <c r="H36" s="5">
        <f t="shared" si="9"/>
        <v>1.536754507628294</v>
      </c>
      <c r="AI36" s="5">
        <v>200</v>
      </c>
      <c r="AJ36" s="5">
        <f t="shared" si="0"/>
        <v>4.1550000000000002</v>
      </c>
      <c r="AK36" s="5">
        <f t="shared" si="1"/>
        <v>400</v>
      </c>
      <c r="AL36">
        <f t="shared" si="2"/>
        <v>4.1550000000000002</v>
      </c>
      <c r="AM36">
        <f t="shared" si="3"/>
        <v>400</v>
      </c>
      <c r="AN36">
        <f t="shared" si="4"/>
        <v>0.12944983818770225</v>
      </c>
      <c r="AO36">
        <f t="shared" si="5"/>
        <v>400</v>
      </c>
      <c r="BS36" s="5">
        <v>200</v>
      </c>
      <c r="BT36" s="5">
        <f t="shared" si="10"/>
        <v>50</v>
      </c>
      <c r="BU36" s="5">
        <f t="shared" si="15"/>
        <v>33.24</v>
      </c>
      <c r="BV36" s="5">
        <f t="shared" si="11"/>
        <v>50</v>
      </c>
      <c r="BW36" s="5">
        <f t="shared" si="12"/>
        <v>33.24</v>
      </c>
      <c r="BX36" s="5">
        <f t="shared" si="13"/>
        <v>50</v>
      </c>
      <c r="BY36" s="5">
        <f t="shared" si="14"/>
        <v>4.3029126213592237</v>
      </c>
    </row>
    <row r="37" spans="2:77" x14ac:dyDescent="0.3">
      <c r="B37" s="5">
        <f t="shared" si="6"/>
        <v>50</v>
      </c>
      <c r="C37" s="5">
        <v>36</v>
      </c>
      <c r="D37" s="5">
        <f t="shared" si="7"/>
        <v>11.541666666666666</v>
      </c>
      <c r="E37" s="5">
        <v>36</v>
      </c>
      <c r="F37" s="5">
        <f t="shared" si="8"/>
        <v>11.541666666666666</v>
      </c>
      <c r="G37" s="5">
        <v>36</v>
      </c>
      <c r="H37" s="5">
        <f t="shared" si="9"/>
        <v>1.494066882416397</v>
      </c>
      <c r="AI37" s="5">
        <v>205</v>
      </c>
      <c r="AJ37" s="5">
        <f t="shared" si="0"/>
        <v>4.2588750000000006</v>
      </c>
      <c r="AK37" s="5">
        <f t="shared" si="1"/>
        <v>400</v>
      </c>
      <c r="AL37">
        <f t="shared" si="2"/>
        <v>4.2588750000000006</v>
      </c>
      <c r="AM37">
        <f t="shared" si="3"/>
        <v>400</v>
      </c>
      <c r="AN37">
        <f t="shared" si="4"/>
        <v>0.13268608414239483</v>
      </c>
      <c r="AO37">
        <f t="shared" si="5"/>
        <v>400</v>
      </c>
      <c r="BS37" s="5">
        <v>205</v>
      </c>
      <c r="BT37" s="5">
        <f t="shared" si="10"/>
        <v>50</v>
      </c>
      <c r="BU37" s="5">
        <f t="shared" si="15"/>
        <v>34.071000000000005</v>
      </c>
      <c r="BV37" s="5">
        <f t="shared" si="11"/>
        <v>50</v>
      </c>
      <c r="BW37" s="5">
        <f t="shared" si="12"/>
        <v>34.071000000000005</v>
      </c>
      <c r="BX37" s="5">
        <f t="shared" si="13"/>
        <v>50</v>
      </c>
      <c r="BY37" s="5">
        <f t="shared" si="14"/>
        <v>4.4104854368932038</v>
      </c>
    </row>
    <row r="38" spans="2:77" x14ac:dyDescent="0.3">
      <c r="B38" s="5">
        <f t="shared" si="6"/>
        <v>50</v>
      </c>
      <c r="C38" s="5">
        <v>37</v>
      </c>
      <c r="D38" s="5">
        <f t="shared" si="7"/>
        <v>11.22972972972973</v>
      </c>
      <c r="E38" s="5">
        <v>37</v>
      </c>
      <c r="F38" s="5">
        <f t="shared" si="8"/>
        <v>11.22972972972973</v>
      </c>
      <c r="G38" s="5">
        <v>37</v>
      </c>
      <c r="H38" s="5">
        <f t="shared" si="9"/>
        <v>1.4536866964051429</v>
      </c>
      <c r="AI38" s="5">
        <v>210</v>
      </c>
      <c r="AJ38" s="5">
        <f t="shared" si="0"/>
        <v>4.3627500000000001</v>
      </c>
      <c r="AK38" s="5">
        <f t="shared" si="1"/>
        <v>400</v>
      </c>
      <c r="AL38">
        <f t="shared" si="2"/>
        <v>4.3627500000000001</v>
      </c>
      <c r="AM38">
        <f t="shared" si="3"/>
        <v>400</v>
      </c>
      <c r="AN38">
        <f t="shared" si="4"/>
        <v>0.13592233009708737</v>
      </c>
      <c r="AO38">
        <f t="shared" si="5"/>
        <v>400</v>
      </c>
      <c r="BS38" s="5">
        <v>210</v>
      </c>
      <c r="BT38" s="5">
        <f t="shared" si="10"/>
        <v>50</v>
      </c>
      <c r="BU38" s="5">
        <f t="shared" si="15"/>
        <v>34.902000000000001</v>
      </c>
      <c r="BV38" s="5">
        <f t="shared" si="11"/>
        <v>50</v>
      </c>
      <c r="BW38" s="5">
        <f t="shared" si="12"/>
        <v>34.902000000000001</v>
      </c>
      <c r="BX38" s="5">
        <f t="shared" si="13"/>
        <v>50</v>
      </c>
      <c r="BY38" s="5">
        <f t="shared" si="14"/>
        <v>4.5180582524271848</v>
      </c>
    </row>
    <row r="39" spans="2:77" x14ac:dyDescent="0.3">
      <c r="B39" s="5">
        <f t="shared" si="6"/>
        <v>50</v>
      </c>
      <c r="C39" s="5">
        <v>38</v>
      </c>
      <c r="D39" s="5">
        <f t="shared" si="7"/>
        <v>10.934210526315789</v>
      </c>
      <c r="E39" s="5">
        <v>38</v>
      </c>
      <c r="F39" s="5">
        <f t="shared" si="8"/>
        <v>10.934210526315789</v>
      </c>
      <c r="G39" s="5">
        <v>38</v>
      </c>
      <c r="H39" s="5">
        <f t="shared" si="9"/>
        <v>1.4154317833418497</v>
      </c>
      <c r="AI39" s="5">
        <v>215</v>
      </c>
      <c r="AJ39" s="5">
        <f t="shared" si="0"/>
        <v>4.4666250000000005</v>
      </c>
      <c r="AK39" s="5">
        <f t="shared" si="1"/>
        <v>400</v>
      </c>
      <c r="AL39">
        <f t="shared" si="2"/>
        <v>4.4666250000000005</v>
      </c>
      <c r="AM39">
        <f t="shared" si="3"/>
        <v>400</v>
      </c>
      <c r="AN39">
        <f t="shared" si="4"/>
        <v>0.13915857605177995</v>
      </c>
      <c r="AO39">
        <f t="shared" si="5"/>
        <v>400</v>
      </c>
      <c r="BS39" s="5">
        <v>215</v>
      </c>
      <c r="BT39" s="5">
        <f t="shared" si="10"/>
        <v>50</v>
      </c>
      <c r="BU39" s="5">
        <f t="shared" si="15"/>
        <v>35.733000000000004</v>
      </c>
      <c r="BV39" s="5">
        <f t="shared" si="11"/>
        <v>50</v>
      </c>
      <c r="BW39" s="5">
        <f t="shared" si="12"/>
        <v>35.733000000000004</v>
      </c>
      <c r="BX39" s="5">
        <f t="shared" si="13"/>
        <v>50</v>
      </c>
      <c r="BY39" s="5">
        <f t="shared" si="14"/>
        <v>4.625631067961165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2022-12-06T17:48:36Z</dcterms:created>
  <dcterms:modified xsi:type="dcterms:W3CDTF">2022-12-09T11:23:43Z</dcterms:modified>
</cp:coreProperties>
</file>